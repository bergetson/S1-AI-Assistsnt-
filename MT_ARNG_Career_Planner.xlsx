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MY PROFILE" sheetId="2" state="visible" r:id="rId2"/>
    <sheet name="POSITION MATCHES" sheetId="3" state="visible" r:id="rId3"/>
    <sheet name="COMMUTE ANALYSIS" sheetId="4" state="visible" r:id="rId4"/>
    <sheet name="CAREER TIMELINE" sheetId="5" state="visible" r:id="rId5"/>
    <sheet name="COUNSELING SHEET" sheetId="6" state="visible" r:id="rId6"/>
    <sheet name="ADMIN - POSITIONS" sheetId="7" state="visible" r:id="rId7"/>
    <sheet name="ADMIN - CITY DISTANCES" sheetId="8" state="visible" r:id="rId8"/>
    <sheet name="ADMIN - PME AND SCHOOLS" sheetId="9" state="visible" r:id="rId9"/>
    <sheet name="ADMIN - MOS TRANSITIONS" sheetId="10" state="visible" r:id="rId10"/>
    <sheet name="ADMIN - PROMOTION TIMELINE" sheetId="11" state="visible" r:id="rId11"/>
    <sheet name="ADMIN - CONFIG" sheetId="12" state="visible" r:id="rId12"/>
    <sheet name="CALC ENGINE" sheetId="13" state="hidden" r:id="rId13"/>
  </sheets>
  <definedNames>
    <definedName name="_xlnm._FilterDatabase" localSheetId="2" hidden="1">'POSITION MATCHES'!$B$5:$T$85</definedName>
    <definedName name="_xlnm._FilterDatabase" localSheetId="3" hidden="1">'COMMUTE ANALYSIS'!$B$5:$M$85</definedName>
    <definedName name="_xlnm.Print_Area" localSheetId="5">'COUNSELING SHEET'!$A$1:$L$55</definedName>
    <definedName name="_xlnm._FilterDatabase" localSheetId="6" hidden="1">'ADMIN - POSITIONS'!$A$2:$R$82</definedName>
    <definedName name="_xlnm._FilterDatabase" localSheetId="7" hidden="1">'ADMIN - CITY DISTANCES'!$A$2:$F$44</definedName>
    <definedName name="_xlnm._FilterDatabase" localSheetId="8" hidden="1">'ADMIN - PME AND SCHOOLS'!$A$2:$J$22</definedName>
    <definedName name="_xlnm._FilterDatabase" localSheetId="9" hidden="1">'ADMIN - MOS TRANSITIONS'!$A$2:$L$20</definedName>
    <definedName name="_xlnm._FilterDatabase" localSheetId="10" hidden="1">'ADMIN - PROMOTION TIMELINE'!$A$2:$J$18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1F3864"/>
      <sz val="9"/>
    </font>
    <font>
      <name val="Calibri"/>
      <b val="1"/>
      <color rgb="001B4F2A"/>
      <sz val="9"/>
    </font>
    <font>
      <name val="Calibri"/>
      <b val="1"/>
      <color rgb="002E4057"/>
      <sz val="9"/>
    </font>
    <font>
      <name val="Calibri"/>
      <b val="1"/>
      <color rgb="005C4033"/>
      <sz val="9"/>
    </font>
    <font>
      <name val="Calibri"/>
      <b val="1"/>
      <color rgb="006D3B47"/>
      <sz val="9"/>
    </font>
    <font>
      <name val="Calibri"/>
      <b val="1"/>
      <color rgb="00C00000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FFFFFF"/>
      <sz val="10"/>
    </font>
    <font>
      <name val="Calibri"/>
      <b val="1"/>
      <color rgb="00FF6600"/>
      <sz val="9"/>
    </font>
    <font>
      <name val="Calibri"/>
      <b val="1"/>
      <color rgb="001A1A1A"/>
      <sz val="9"/>
    </font>
    <font>
      <name val="Calibri"/>
      <b val="1"/>
      <color rgb="00FFFFFF"/>
      <sz val="14"/>
    </font>
    <font>
      <name val="Calibri"/>
      <b val="1"/>
      <color rgb="001A1A1A"/>
      <sz val="10"/>
    </font>
    <font>
      <name val="Calibri"/>
      <color rgb="001F3864"/>
      <sz val="10"/>
    </font>
    <font>
      <name val="Calibri"/>
      <i val="1"/>
      <color rgb="00595959"/>
      <sz val="9"/>
    </font>
    <font>
      <name val="Calibri"/>
      <b val="1"/>
      <color rgb="00FFFFFF"/>
      <sz val="16"/>
    </font>
    <font>
      <name val="Calibri"/>
      <i val="1"/>
      <color rgb="001A1A1A"/>
      <sz val="9"/>
    </font>
    <font>
      <name val="Calibri"/>
      <color rgb="001F3864"/>
      <sz val="9"/>
    </font>
    <font>
      <name val="Calibri"/>
      <i val="1"/>
      <color rgb="00595959"/>
      <sz val="8"/>
    </font>
    <font>
      <b val="1"/>
      <color rgb="00FFFFFF"/>
    </font>
    <font>
      <name val="Calibri"/>
      <b val="1"/>
      <color rgb="001A1A1A"/>
      <sz val="8"/>
    </font>
    <font>
      <name val="Calibri"/>
      <color rgb="00595959"/>
      <sz val="8"/>
    </font>
    <font>
      <name val="Calibri"/>
      <b val="1"/>
      <sz val="8"/>
    </font>
    <font>
      <name val="Calibri"/>
      <color rgb="001A1A1A"/>
      <sz val="8"/>
    </font>
    <font>
      <name val="Calibri"/>
      <sz val="9"/>
    </font>
    <font>
      <name val="Calibri"/>
      <b val="1"/>
      <sz val="9"/>
    </font>
    <font>
      <name val="Calibri"/>
      <color rgb="001B4F2A"/>
      <sz val="7"/>
    </font>
    <font>
      <name val="Calibri"/>
      <b val="1"/>
      <sz val="7"/>
    </font>
    <font>
      <name val="Calibri"/>
      <b val="1"/>
      <color rgb="001F3864"/>
      <sz val="8"/>
    </font>
    <font>
      <name val="Calibri"/>
      <i val="1"/>
      <sz val="8"/>
    </font>
    <font>
      <name val="Calibri"/>
      <b val="1"/>
      <color rgb="00FFFFFF"/>
      <sz val="8"/>
    </font>
    <font>
      <name val="Calibri"/>
      <sz val="8"/>
    </font>
    <font>
      <name val="Calibri"/>
      <i val="1"/>
      <color rgb="00595959"/>
      <sz val="7"/>
    </font>
  </fonts>
  <fills count="32">
    <fill>
      <patternFill/>
    </fill>
    <fill>
      <patternFill patternType="gray125"/>
    </fill>
    <fill>
      <patternFill patternType="solid">
        <fgColor rgb="001B4F2A"/>
      </patternFill>
    </fill>
    <fill>
      <patternFill patternType="solid">
        <fgColor rgb="001A1A1A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057"/>
      </patternFill>
    </fill>
    <fill>
      <patternFill patternType="solid">
        <fgColor rgb="005C4033"/>
      </patternFill>
    </fill>
    <fill>
      <patternFill patternType="solid">
        <fgColor rgb="006D3B47"/>
      </patternFill>
    </fill>
    <fill>
      <patternFill patternType="solid">
        <fgColor rgb="00FFF2CC"/>
      </patternFill>
    </fill>
    <fill>
      <patternFill patternType="solid">
        <fgColor rgb="00C8A96E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0E0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EA9999"/>
      </patternFill>
    </fill>
    <fill>
      <patternFill patternType="solid">
        <fgColor rgb="00CC0000"/>
      </patternFill>
    </fill>
    <fill>
      <patternFill patternType="solid">
        <fgColor rgb="00FFFACD"/>
      </patternFill>
    </fill>
    <fill>
      <patternFill patternType="solid">
        <fgColor rgb="00404040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BF8F00"/>
      </patternFill>
    </fill>
  </fills>
  <borders count="18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/>
      <right style="thin"/>
      <top style="thin"/>
      <bottom style="thin"/>
    </border>
    <border>
      <left style="thin">
        <color rgb="00AAAAAA"/>
      </left>
      <right/>
      <top/>
      <bottom/>
      <diagonal/>
    </border>
    <border>
      <left/>
      <right style="thin">
        <color rgb="00AAAAAA"/>
      </right>
      <top/>
      <bottom/>
      <diagonal/>
    </border>
    <border>
      <left style="thin">
        <color rgb="00AAAAAA"/>
      </left>
      <right/>
      <top/>
      <bottom style="thin">
        <color rgb="00AAAAAA"/>
      </bottom>
      <diagonal/>
    </border>
    <border>
      <left/>
      <right/>
      <top/>
      <bottom style="thin">
        <color rgb="00AAAAAA"/>
      </bottom>
      <diagonal/>
    </border>
    <border>
      <left/>
      <right style="thin">
        <color rgb="00AAAAAA"/>
      </right>
      <top/>
      <bottom style="thin">
        <color rgb="00AAAAAA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>
        <color rgb="001B4F2A"/>
      </left>
      <right style="medium">
        <color rgb="001B4F2A"/>
      </right>
      <top style="medium">
        <color rgb="001B4F2A"/>
      </top>
      <bottom style="medium">
        <color rgb="001B4F2A"/>
      </bottom>
    </border>
    <border>
      <bottom style="medium">
        <color rgb="001A1A1A"/>
      </bottom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left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left" vertical="center" wrapText="1"/>
    </xf>
    <xf numFmtId="0" fontId="12" fillId="23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left" vertical="center" wrapText="1"/>
    </xf>
    <xf numFmtId="0" fontId="12" fillId="24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left" vertical="center" wrapText="1"/>
    </xf>
    <xf numFmtId="0" fontId="12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8" fillId="2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8" fillId="2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22" fillId="27" borderId="1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25" fillId="16" borderId="7" applyAlignment="1" pivotButton="0" quotePrefix="0" xfId="0">
      <alignment horizontal="center" vertical="center"/>
    </xf>
    <xf numFmtId="0" fontId="25" fillId="11" borderId="7" applyAlignment="1" pivotButton="0" quotePrefix="0" xfId="0">
      <alignment horizontal="center" vertical="center"/>
    </xf>
    <xf numFmtId="0" fontId="25" fillId="15" borderId="7" applyAlignment="1" pivotButton="0" quotePrefix="0" xfId="0">
      <alignment horizontal="center" vertical="center"/>
    </xf>
    <xf numFmtId="0" fontId="25" fillId="19" borderId="7" applyAlignment="1" pivotButton="0" quotePrefix="0" xfId="0">
      <alignment horizontal="center" vertical="center"/>
    </xf>
    <xf numFmtId="0" fontId="25" fillId="17" borderId="7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 wrapText="1"/>
    </xf>
    <xf numFmtId="0" fontId="26" fillId="5" borderId="7" applyAlignment="1" pivotButton="0" quotePrefix="0" xfId="0">
      <alignment horizontal="center"/>
    </xf>
    <xf numFmtId="0" fontId="12" fillId="5" borderId="7" applyAlignment="1" pivotButton="0" quotePrefix="0" xfId="0">
      <alignment horizontal="left" vertical="center"/>
    </xf>
    <xf numFmtId="0" fontId="12" fillId="5" borderId="7" applyAlignment="1" pivotButton="0" quotePrefix="0" xfId="0">
      <alignment horizontal="center" vertical="center"/>
    </xf>
    <xf numFmtId="0" fontId="12" fillId="13" borderId="7" applyAlignment="1" pivotButton="0" quotePrefix="0" xfId="0">
      <alignment horizontal="left" vertical="center"/>
    </xf>
    <xf numFmtId="0" fontId="12" fillId="13" borderId="7" applyAlignment="1" pivotButton="0" quotePrefix="0" xfId="0">
      <alignment horizontal="center" vertical="center"/>
    </xf>
    <xf numFmtId="0" fontId="13" fillId="28" borderId="0" applyAlignment="1" pivotButton="0" quotePrefix="0" xfId="0">
      <alignment horizontal="center" vertical="center"/>
    </xf>
    <xf numFmtId="0" fontId="11" fillId="28" borderId="6" applyAlignment="1" pivotButton="0" quotePrefix="0" xfId="0">
      <alignment horizontal="center"/>
    </xf>
    <xf numFmtId="0" fontId="24" fillId="28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16" fillId="2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left" vertical="center" wrapText="1"/>
    </xf>
    <xf numFmtId="0" fontId="30" fillId="13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 wrapText="1"/>
    </xf>
    <xf numFmtId="0" fontId="19" fillId="11" borderId="0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1" fillId="29" borderId="16" applyAlignment="1" pivotButton="0" quotePrefix="0" xfId="0">
      <alignment horizontal="center" vertical="center" wrapText="1"/>
    </xf>
    <xf numFmtId="0" fontId="11" fillId="4" borderId="16" applyAlignment="1" pivotButton="0" quotePrefix="0" xfId="0">
      <alignment horizontal="center" vertical="center" wrapText="1"/>
    </xf>
    <xf numFmtId="0" fontId="11" fillId="12" borderId="16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3" fillId="30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center" vertical="center" wrapText="1"/>
    </xf>
    <xf numFmtId="0" fontId="28" fillId="13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/>
    </xf>
    <xf numFmtId="0" fontId="36" fillId="13" borderId="1" applyAlignment="1" pivotButton="0" quotePrefix="0" xfId="0">
      <alignment horizontal="left" vertical="center" wrapText="1"/>
    </xf>
    <xf numFmtId="0" fontId="36" fillId="15" borderId="1" applyAlignment="1" pivotButton="0" quotePrefix="0" xfId="0">
      <alignment horizontal="left" vertical="center" wrapText="1"/>
    </xf>
    <xf numFmtId="0" fontId="34" fillId="15" borderId="1" applyAlignment="1" pivotButton="0" quotePrefix="0" xfId="0">
      <alignment horizontal="left" vertical="center" wrapText="1"/>
    </xf>
    <xf numFmtId="0" fontId="35" fillId="2" borderId="1" applyAlignment="1" pivotButton="0" quotePrefix="0" xfId="0">
      <alignment horizontal="center" vertical="center" wrapText="1"/>
    </xf>
    <xf numFmtId="0" fontId="36" fillId="16" borderId="1" applyAlignment="1" pivotButton="0" quotePrefix="0" xfId="0">
      <alignment horizontal="left" vertical="center" wrapText="1"/>
    </xf>
    <xf numFmtId="0" fontId="36" fillId="11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6" fillId="19" borderId="1" applyAlignment="1" pivotButton="0" quotePrefix="0" xfId="0">
      <alignment horizontal="left" vertical="center" wrapText="1"/>
    </xf>
    <xf numFmtId="0" fontId="23" fillId="13" borderId="17" applyAlignment="1" pivotButton="0" quotePrefix="0" xfId="0">
      <alignment horizontal="left" vertical="bottom"/>
    </xf>
    <xf numFmtId="0" fontId="3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2A"/>
    <outlinePr summaryBelow="1" summaryRight="1"/>
    <pageSetUpPr/>
  </sheetPr>
  <dimension ref="B2:L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10" customHeight="1"/>
    <row r="2" ht="50" customHeight="1">
      <c r="B2" s="1" t="inlineStr">
        <is>
          <t>Montana Army National Guard
Career Planning &amp; Mentorship Tool</t>
        </is>
      </c>
    </row>
    <row r="3" ht="30" customHeight="1">
      <c r="B3" s="2" t="inlineStr">
        <is>
          <t>Version 1.0  |  DEMO DATA — Replace admin sheets with real MTARNG data before operational use</t>
        </is>
      </c>
    </row>
    <row r="5" ht="20" customHeight="1">
      <c r="B5" s="3" t="inlineStr">
        <is>
          <t>MY PROFILE</t>
        </is>
      </c>
      <c r="D5" s="4" t="inlineStr">
        <is>
          <t>POSITION MATCHES</t>
        </is>
      </c>
      <c r="F5" s="5" t="inlineStr">
        <is>
          <t>COMMUTE ANALYSIS</t>
        </is>
      </c>
      <c r="H5" s="6" t="inlineStr">
        <is>
          <t>CAREER TIMELINE</t>
        </is>
      </c>
      <c r="J5" s="7" t="inlineStr">
        <is>
          <t>COUNSELING SHEET</t>
        </is>
      </c>
    </row>
    <row r="6" ht="80" customHeight="1">
      <c r="B6" s="8" t="inlineStr">
        <is>
          <t>Start here. Enter your rank, MOS,
unit, home city, and career goals.</t>
        </is>
      </c>
      <c r="D6" s="9" t="inlineStr">
        <is>
          <t>See all MTARNG positions scored
against your profile.</t>
        </is>
      </c>
      <c r="F6" s="10" t="inlineStr">
        <is>
          <t>View drive time and distance
from your home city to each position.</t>
        </is>
      </c>
      <c r="H6" s="11" t="inlineStr">
        <is>
          <t>See a suggested 10–20 year career
pathway toward your goal.</t>
        </is>
      </c>
      <c r="J6" s="12" t="inlineStr">
        <is>
          <t>Print a 1-page counseling summary
for your senior rater meeting.</t>
        </is>
      </c>
    </row>
    <row r="7" ht="30" customHeight="1">
      <c r="B7" s="13" t="inlineStr">
        <is>
          <t>→ Go to MY PROFILE</t>
        </is>
      </c>
      <c r="D7" s="14" t="inlineStr">
        <is>
          <t>→ Go to POSITION MATCHES</t>
        </is>
      </c>
      <c r="F7" s="15" t="inlineStr">
        <is>
          <t>→ Go to COMMUTE ANALYSIS</t>
        </is>
      </c>
      <c r="H7" s="16" t="inlineStr">
        <is>
          <t>→ Go to CAREER TIMELINE</t>
        </is>
      </c>
      <c r="J7" s="17" t="inlineStr">
        <is>
          <t>→ Go to COUNSELING SHEET</t>
        </is>
      </c>
    </row>
    <row r="9">
      <c r="B9" s="18" t="inlineStr">
        <is>
          <t>⚠  ADMIN SHEETS (red tabs): ADMIN - POSITIONS | ADMIN - CITY DISTANCES | ADMIN - PME AND SCHOOLS | ADMIN - MOS TRANSITIONS | ADMIN - PROMOTION TIMELINE</t>
        </is>
      </c>
    </row>
    <row r="11" ht="18" customHeight="1">
      <c r="B11" s="4" t="inlineStr">
        <is>
          <t>HOW TO USE THIS TOOL</t>
        </is>
      </c>
    </row>
    <row r="12" ht="22" customHeight="1">
      <c r="B12" s="19" t="inlineStr">
        <is>
          <t>STEP 1</t>
        </is>
      </c>
      <c r="C12" s="20" t="inlineStr">
        <is>
          <t>Open MY PROFILE and fill in your information from top to bottom. Use the dropdown lists provided.</t>
        </is>
      </c>
    </row>
    <row r="13" ht="22" customHeight="1">
      <c r="B13" s="21" t="inlineStr">
        <is>
          <t>STEP 2</t>
        </is>
      </c>
      <c r="C13" s="22" t="inlineStr">
        <is>
          <t>Navigate to POSITION MATCHES to see every MTARNG position scored and ranked for your profile.</t>
        </is>
      </c>
    </row>
    <row r="14" ht="22" customHeight="1">
      <c r="B14" s="19" t="inlineStr">
        <is>
          <t>STEP 3</t>
        </is>
      </c>
      <c r="C14" s="20" t="inlineStr">
        <is>
          <t>Open COMMUTE ANALYSIS to understand the drive time and distance impact of each opportunity.</t>
        </is>
      </c>
    </row>
    <row r="15" ht="22" customHeight="1">
      <c r="B15" s="21" t="inlineStr">
        <is>
          <t>STEP 4</t>
        </is>
      </c>
      <c r="C15" s="22" t="inlineStr">
        <is>
          <t>Review CAREER TIMELINE for a suggested multi-year pathway toward your stated goal.</t>
        </is>
      </c>
    </row>
    <row r="16" ht="22" customHeight="1">
      <c r="B16" s="19" t="inlineStr">
        <is>
          <t>STEP 5</t>
        </is>
      </c>
      <c r="C16" s="20" t="inlineStr">
        <is>
          <t>Print COUNSELING SHEET and bring it to your senior rater, mentor, or retention NCO.</t>
        </is>
      </c>
    </row>
    <row r="17" ht="22" customHeight="1">
      <c r="B17" s="21" t="inlineStr">
        <is>
          <t>FOR ADMINS</t>
        </is>
      </c>
      <c r="C17" s="22" t="inlineStr">
        <is>
          <t>Update the red-tab ADMIN sheets with real MTARNG data. Soldier-facing outputs update automatically.</t>
        </is>
      </c>
    </row>
  </sheetData>
  <mergeCells count="25">
    <mergeCell ref="C17:L17"/>
    <mergeCell ref="B3:L3"/>
    <mergeCell ref="B6"/>
    <mergeCell ref="B5"/>
    <mergeCell ref="D5"/>
    <mergeCell ref="H5"/>
    <mergeCell ref="C13:L13"/>
    <mergeCell ref="B11:L11"/>
    <mergeCell ref="B7"/>
    <mergeCell ref="B2:L2"/>
    <mergeCell ref="C15:L15"/>
    <mergeCell ref="J5"/>
    <mergeCell ref="F6"/>
    <mergeCell ref="C14:L14"/>
    <mergeCell ref="F7"/>
    <mergeCell ref="H6"/>
    <mergeCell ref="D6"/>
    <mergeCell ref="J6"/>
    <mergeCell ref="C16:L16"/>
    <mergeCell ref="F5"/>
    <mergeCell ref="B9:L9"/>
    <mergeCell ref="D7"/>
    <mergeCell ref="H7"/>
    <mergeCell ref="J7"/>
    <mergeCell ref="C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1:I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4" customWidth="1" min="4" max="4"/>
    <col width="14" customWidth="1" min="5" max="5"/>
    <col width="26" customWidth="1" min="6" max="6"/>
    <col width="18" customWidth="1" min="7" max="7"/>
    <col width="14" customWidth="1" min="8" max="8"/>
    <col width="14" customWidth="1" min="9" max="9"/>
    <col width="2" customWidth="1" min="10" max="10"/>
  </cols>
  <sheetData>
    <row r="1" ht="34" customHeight="1">
      <c r="B1" s="61" t="inlineStr">
        <is>
          <t>SOLDIER CAREER PROFILE  |  Montana Army National Guard</t>
        </is>
      </c>
    </row>
    <row r="2" ht="18" customHeight="1">
      <c r="B2" s="62" t="inlineStr">
        <is>
          <t>Fill in the yellow cells. Use dropdown arrows where available. All Soldier-facing sheets update automatically from this page.</t>
        </is>
      </c>
    </row>
    <row r="4" ht="22" customHeight="1">
      <c r="B4" s="63" t="inlineStr">
        <is>
          <t>SECTION 1 — SOLDIER IDENTITY &amp; CURRENT STATUS</t>
        </is>
      </c>
      <c r="C4" s="66" t="n"/>
      <c r="D4" s="66" t="n"/>
      <c r="E4" s="66" t="n"/>
      <c r="F4" s="66" t="n"/>
      <c r="G4" s="66" t="n"/>
      <c r="H4" s="66" t="n"/>
      <c r="I4" s="67" t="n"/>
    </row>
    <row r="5" ht="22" customHeight="1">
      <c r="B5" s="64" t="inlineStr">
        <is>
          <t>Full Name (Last, First MI)</t>
        </is>
      </c>
      <c r="C5" s="65" t="inlineStr">
        <is>
          <t>Smith, John A.</t>
        </is>
      </c>
      <c r="D5" s="66" t="n"/>
      <c r="E5" s="67" t="n"/>
      <c r="F5" s="64" t="inlineStr">
        <is>
          <t>Last 4 SSN (optional)</t>
        </is>
      </c>
      <c r="G5" s="65" t="inlineStr">
        <is>
          <t>XXXX</t>
        </is>
      </c>
      <c r="H5" s="67" t="n"/>
    </row>
    <row r="6" ht="22" customHeight="1">
      <c r="B6" s="64" t="inlineStr">
        <is>
          <t>Current Rank / Grade</t>
        </is>
      </c>
      <c r="C6" s="65" t="inlineStr">
        <is>
          <t>E5 / SGT</t>
        </is>
      </c>
      <c r="D6" s="64" t="inlineStr">
        <is>
          <t>Career Category</t>
        </is>
      </c>
      <c r="E6" s="65" t="inlineStr">
        <is>
          <t>Enlisted</t>
        </is>
      </c>
      <c r="F6" s="64" t="inlineStr">
        <is>
          <t>Component / Status</t>
        </is>
      </c>
      <c r="G6" s="65" t="inlineStr">
        <is>
          <t>M-Day</t>
        </is>
      </c>
      <c r="H6" s="65" t="inlineStr"/>
      <c r="I6" s="67" t="n"/>
    </row>
    <row r="7" ht="22" customHeight="1">
      <c r="B7" s="64" t="inlineStr">
        <is>
          <t>Primary MOS / AOC / Branch</t>
        </is>
      </c>
      <c r="C7" s="65" t="inlineStr">
        <is>
          <t>92Y</t>
        </is>
      </c>
      <c r="D7" s="64" t="inlineStr">
        <is>
          <t>Secondary MOS (if any)</t>
        </is>
      </c>
      <c r="E7" s="65" t="inlineStr"/>
      <c r="F7" s="64" t="inlineStr">
        <is>
          <t>Branch / Career Field (Officers)</t>
        </is>
      </c>
      <c r="G7" s="65" t="inlineStr">
        <is>
          <t>LG</t>
        </is>
      </c>
      <c r="H7" s="67" t="n"/>
    </row>
    <row r="8" ht="22" customHeight="1">
      <c r="B8" s="64" t="inlineStr">
        <is>
          <t>Current Unit Name</t>
        </is>
      </c>
      <c r="C8" s="65" t="inlineStr">
        <is>
          <t>495th CSSC</t>
        </is>
      </c>
      <c r="D8" s="66" t="n"/>
      <c r="E8" s="67" t="n"/>
      <c r="F8" s="64" t="inlineStr">
        <is>
          <t>UIC (if known)</t>
        </is>
      </c>
      <c r="G8" s="65" t="inlineStr">
        <is>
          <t>W4MMMS</t>
        </is>
      </c>
      <c r="H8" s="67" t="n"/>
    </row>
    <row r="9" ht="22" customHeight="1">
      <c r="B9" s="64" t="inlineStr">
        <is>
          <t>Current Duty Title / Position</t>
        </is>
      </c>
      <c r="C9" s="65" t="inlineStr">
        <is>
          <t>Unit Supply Specialist</t>
        </is>
      </c>
      <c r="D9" s="66" t="n"/>
      <c r="E9" s="67" t="n"/>
      <c r="F9" s="64" t="inlineStr">
        <is>
          <t>City of Current Unit</t>
        </is>
      </c>
      <c r="G9" s="65" t="inlineStr">
        <is>
          <t>Missoula</t>
        </is>
      </c>
    </row>
    <row r="10" ht="22" customHeight="1">
      <c r="B10" s="64" t="inlineStr">
        <is>
          <t>Home City (where you live)</t>
        </is>
      </c>
      <c r="C10" s="65" t="inlineStr">
        <is>
          <t>Missoula</t>
        </is>
      </c>
      <c r="D10" s="64" t="inlineStr">
        <is>
          <t>State (if not MT)</t>
        </is>
      </c>
      <c r="E10" s="65" t="inlineStr">
        <is>
          <t>MT</t>
        </is>
      </c>
      <c r="F10" s="64" t="inlineStr">
        <is>
          <t>Max Acceptable One-Way Commute</t>
        </is>
      </c>
      <c r="G10" s="65" t="inlineStr">
        <is>
          <t>2 Hours</t>
        </is>
      </c>
    </row>
    <row r="11" ht="22" customHeight="1">
      <c r="B11" s="64" t="inlineStr">
        <is>
          <t>Total Years of Service (ARNG + AD)</t>
        </is>
      </c>
      <c r="C11" s="65" t="inlineStr">
        <is>
          <t>8</t>
        </is>
      </c>
      <c r="D11" s="64" t="inlineStr">
        <is>
          <t>Years in Current Grade (TIG)</t>
        </is>
      </c>
      <c r="E11" s="65" t="inlineStr">
        <is>
          <t>2</t>
        </is>
      </c>
      <c r="F11" s="64" t="inlineStr">
        <is>
          <t>Time in Current Position (years)</t>
        </is>
      </c>
      <c r="G11" s="65" t="inlineStr">
        <is>
          <t>1.5</t>
        </is>
      </c>
      <c r="H11" s="67" t="n"/>
    </row>
    <row r="12" ht="22" customHeight="1">
      <c r="B12" s="64" t="inlineStr">
        <is>
          <t>ETS / Expiration Term of Service</t>
        </is>
      </c>
      <c r="C12" s="65" t="inlineStr">
        <is>
          <t>2027-08-01</t>
        </is>
      </c>
      <c r="D12" s="64" t="inlineStr">
        <is>
          <t>Initial Entry Date (PEBD/DOR)</t>
        </is>
      </c>
      <c r="E12" s="65" t="inlineStr">
        <is>
          <t>2018-06-01</t>
        </is>
      </c>
      <c r="F12" s="64" t="inlineStr">
        <is>
          <t>Willing to Relocate for the Right Position?</t>
        </is>
      </c>
      <c r="G12" s="65" t="inlineStr">
        <is>
          <t>No</t>
        </is>
      </c>
    </row>
    <row r="13" ht="22" customHeight="1"/>
    <row r="14" ht="22" customHeight="1">
      <c r="B14" s="68" t="inlineStr">
        <is>
          <t>SECTION 2 — PME &amp; EDUCATION COMPLETED</t>
        </is>
      </c>
      <c r="C14" s="66" t="n"/>
      <c r="D14" s="66" t="n"/>
      <c r="E14" s="66" t="n"/>
      <c r="F14" s="66" t="n"/>
      <c r="G14" s="66" t="n"/>
      <c r="H14" s="66" t="n"/>
      <c r="I14" s="67" t="n"/>
    </row>
    <row r="15" ht="20" customHeight="1">
      <c r="B15" s="69" t="inlineStr">
        <is>
          <t>ENLISTED PME</t>
        </is>
      </c>
      <c r="C15" s="67" t="n"/>
      <c r="D15" s="69" t="inlineStr">
        <is>
          <t>OFFICER PME</t>
        </is>
      </c>
      <c r="E15" s="67" t="n"/>
      <c r="F15" s="69" t="inlineStr">
        <is>
          <t>WARRANT PME</t>
        </is>
      </c>
      <c r="G15" s="66" t="n"/>
      <c r="H15" s="67" t="n"/>
    </row>
    <row r="16" ht="20" customHeight="1">
      <c r="B16" s="64" t="inlineStr">
        <is>
          <t>Basic Leader Course (BLC)</t>
        </is>
      </c>
      <c r="C16" s="65" t="inlineStr">
        <is>
          <t>No</t>
        </is>
      </c>
      <c r="D16" s="64" t="inlineStr">
        <is>
          <t>BOLC Complete</t>
        </is>
      </c>
      <c r="E16" s="65" t="inlineStr">
        <is>
          <t>No</t>
        </is>
      </c>
      <c r="F16" s="64" t="inlineStr">
        <is>
          <t>WOBC Complete</t>
        </is>
      </c>
      <c r="G16" s="65" t="inlineStr">
        <is>
          <t>No</t>
        </is>
      </c>
    </row>
    <row r="17" ht="20" customHeight="1">
      <c r="B17" s="64" t="inlineStr">
        <is>
          <t>Advanced Leader Course (ALC)</t>
        </is>
      </c>
      <c r="C17" s="65" t="inlineStr">
        <is>
          <t>No</t>
        </is>
      </c>
      <c r="D17" s="64" t="inlineStr">
        <is>
          <t>Captain's Career Course (CCC)</t>
        </is>
      </c>
      <c r="E17" s="65" t="inlineStr">
        <is>
          <t>No</t>
        </is>
      </c>
      <c r="F17" s="64" t="inlineStr">
        <is>
          <t>WOAC Complete</t>
        </is>
      </c>
      <c r="G17" s="65" t="inlineStr">
        <is>
          <t>No</t>
        </is>
      </c>
    </row>
    <row r="18" ht="20" customHeight="1">
      <c r="B18" s="64" t="inlineStr">
        <is>
          <t>Senior Leader Course (SLC)</t>
        </is>
      </c>
      <c r="C18" s="65" t="inlineStr">
        <is>
          <t>No</t>
        </is>
      </c>
      <c r="D18" s="64" t="inlineStr">
        <is>
          <t>ILE Complete</t>
        </is>
      </c>
      <c r="E18" s="65" t="inlineStr">
        <is>
          <t>No</t>
        </is>
      </c>
      <c r="F18" s="64" t="inlineStr">
        <is>
          <t>WOILE Complete</t>
        </is>
      </c>
      <c r="G18" s="65" t="inlineStr">
        <is>
          <t>No</t>
        </is>
      </c>
    </row>
    <row r="19" ht="20" customHeight="1">
      <c r="B19" s="64" t="inlineStr">
        <is>
          <t>Sergeant Major Course (SMC)</t>
        </is>
      </c>
      <c r="C19" s="65" t="inlineStr">
        <is>
          <t>No</t>
        </is>
      </c>
      <c r="D19" s="64" t="inlineStr">
        <is>
          <t>Senior Service College (SSC)</t>
        </is>
      </c>
      <c r="E19" s="65" t="inlineStr">
        <is>
          <t>No</t>
        </is>
      </c>
      <c r="F19" s="64" t="inlineStr">
        <is>
          <t>WOSSE Complete</t>
        </is>
      </c>
      <c r="G19" s="65" t="inlineStr">
        <is>
          <t>No</t>
        </is>
      </c>
    </row>
    <row r="20" ht="20" customHeight="1">
      <c r="B20" s="64" t="inlineStr">
        <is>
          <t>SSD1 Complete</t>
        </is>
      </c>
      <c r="C20" s="65" t="inlineStr">
        <is>
          <t>No</t>
        </is>
      </c>
      <c r="D20" s="70" t="inlineStr"/>
    </row>
    <row r="21" ht="20" customHeight="1">
      <c r="B21" s="64" t="inlineStr">
        <is>
          <t>SSD2 Complete</t>
        </is>
      </c>
      <c r="C21" s="65" t="inlineStr">
        <is>
          <t>No</t>
        </is>
      </c>
      <c r="D21" s="70" t="inlineStr"/>
    </row>
    <row r="22" ht="20" customHeight="1">
      <c r="B22" s="64" t="inlineStr">
        <is>
          <t>Highest Education Level</t>
        </is>
      </c>
      <c r="C22" s="65" t="inlineStr">
        <is>
          <t>Some College</t>
        </is>
      </c>
      <c r="D22" s="64" t="inlineStr">
        <is>
          <t>College Degree Field (if any)</t>
        </is>
      </c>
      <c r="E22" s="65" t="inlineStr">
        <is>
          <t>Business Administration</t>
        </is>
      </c>
      <c r="F22" s="64" t="inlineStr">
        <is>
          <t>Other Relevant Certifications</t>
        </is>
      </c>
      <c r="G22" s="65" t="inlineStr">
        <is>
          <t>APFT Master Fitness Trainer</t>
        </is>
      </c>
      <c r="H22" s="67" t="n"/>
    </row>
    <row r="23" ht="20" customHeight="1"/>
    <row r="24" ht="22" customHeight="1">
      <c r="B24" s="71" t="inlineStr">
        <is>
          <t>SECTION 3 — CAREER GOALS &amp; ASPIRATIONS</t>
        </is>
      </c>
      <c r="C24" s="66" t="n"/>
      <c r="D24" s="66" t="n"/>
      <c r="E24" s="66" t="n"/>
      <c r="F24" s="66" t="n"/>
      <c r="G24" s="66" t="n"/>
      <c r="H24" s="66" t="n"/>
      <c r="I24" s="67" t="n"/>
    </row>
    <row r="25" ht="22" customHeight="1">
      <c r="B25" s="64" t="inlineStr">
        <is>
          <t>Target Rank / Goal Grade</t>
        </is>
      </c>
      <c r="C25" s="65" t="inlineStr">
        <is>
          <t>E7 / SFC</t>
        </is>
      </c>
      <c r="D25" s="64" t="inlineStr">
        <is>
          <t>Target Timeline (years from now)</t>
        </is>
      </c>
      <c r="E25" s="65" t="inlineStr">
        <is>
          <t>4</t>
        </is>
      </c>
      <c r="F25" s="64" t="inlineStr">
        <is>
          <t>Preferred Component After Next Move</t>
        </is>
      </c>
      <c r="G25" s="65" t="inlineStr">
        <is>
          <t>Either</t>
        </is>
      </c>
    </row>
    <row r="26" ht="22" customHeight="1">
      <c r="B26" s="64" t="inlineStr">
        <is>
          <t>Primary Career Goal (select one)</t>
        </is>
      </c>
      <c r="C26" s="65" t="inlineStr">
        <is>
          <t>Promote to Next Grade</t>
        </is>
      </c>
      <c r="D26" s="66" t="n"/>
      <c r="E26" s="67" t="n"/>
      <c r="F26" s="64" t="inlineStr">
        <is>
          <t>Secondary Career Goal (optional)</t>
        </is>
      </c>
      <c r="G26" s="65" t="inlineStr">
        <is>
          <t>Pursue AGR Full-Time</t>
        </is>
      </c>
      <c r="H26" s="67" t="n"/>
    </row>
    <row r="27" ht="22" customHeight="1">
      <c r="B27" s="64" t="inlineStr">
        <is>
          <t>Desired Position Type (select one)</t>
        </is>
      </c>
      <c r="C27" s="65" t="inlineStr">
        <is>
          <t>Leadership</t>
        </is>
      </c>
      <c r="D27" s="64" t="inlineStr">
        <is>
          <t>Open to Command Position?</t>
        </is>
      </c>
      <c r="E27" s="65" t="inlineStr">
        <is>
          <t>Yes</t>
        </is>
      </c>
      <c r="F27" s="64" t="inlineStr">
        <is>
          <t>Want to switch MOS or Branch?</t>
        </is>
      </c>
      <c r="G27" s="65" t="inlineStr">
        <is>
          <t>No</t>
        </is>
      </c>
    </row>
    <row r="28" ht="22" customHeight="1">
      <c r="B28" s="64" t="inlineStr">
        <is>
          <t>If switching — Target MOS / Branch</t>
        </is>
      </c>
      <c r="C28" s="65" t="inlineStr">
        <is>
          <t>N/A</t>
        </is>
      </c>
      <c r="D28" s="64" t="inlineStr">
        <is>
          <t>Warrant Officer Interest?</t>
        </is>
      </c>
      <c r="E28" s="65" t="inlineStr">
        <is>
          <t>No</t>
        </is>
      </c>
      <c r="F28" s="64" t="inlineStr">
        <is>
          <t>Long-term goal (10-20 yrs out)</t>
        </is>
      </c>
      <c r="G28" s="65" t="inlineStr">
        <is>
          <t>Senior NCO / Retention SGM</t>
        </is>
      </c>
      <c r="H28" s="67" t="n"/>
    </row>
    <row r="29" ht="22" customHeight="1"/>
    <row r="30" ht="18" customHeight="1">
      <c r="B30" s="72" t="inlineStr">
        <is>
          <t>5-YEAR GOAL (describe in your own words):</t>
        </is>
      </c>
      <c r="C30" s="66" t="n"/>
      <c r="D30" s="66" t="n"/>
      <c r="E30" s="66" t="n"/>
      <c r="F30" s="66" t="n"/>
      <c r="G30" s="66" t="n"/>
      <c r="H30" s="66" t="n"/>
      <c r="I30" s="67" t="n"/>
    </row>
    <row r="31" ht="20" customHeight="1">
      <c r="B31" s="73" t="inlineStr">
        <is>
          <t>I want to promote to SFC within 4 years. I plan to complete SLC and move into a platoon sergeant or staff NCOIC role at a unit closer to Helena, ideally as an AGR position.</t>
        </is>
      </c>
      <c r="C31" s="93" t="n"/>
      <c r="D31" s="93" t="n"/>
      <c r="E31" s="93" t="n"/>
      <c r="F31" s="93" t="n"/>
      <c r="G31" s="93" t="n"/>
      <c r="H31" s="93" t="n"/>
      <c r="I31" s="94" t="n"/>
    </row>
    <row r="32" ht="20" customHeight="1">
      <c r="B32" s="95" t="n"/>
      <c r="I32" s="96" t="n"/>
    </row>
    <row r="33" ht="20" customHeight="1">
      <c r="B33" s="97" t="n"/>
      <c r="C33" s="98" t="n"/>
      <c r="D33" s="98" t="n"/>
      <c r="E33" s="98" t="n"/>
      <c r="F33" s="98" t="n"/>
      <c r="G33" s="98" t="n"/>
      <c r="H33" s="98" t="n"/>
      <c r="I33" s="99" t="n"/>
    </row>
    <row r="34" ht="18" customHeight="1">
      <c r="B34" s="72" t="inlineStr">
        <is>
          <t>10-YEAR / LONG-RANGE GOAL:</t>
        </is>
      </c>
      <c r="C34" s="66" t="n"/>
      <c r="D34" s="66" t="n"/>
      <c r="E34" s="66" t="n"/>
      <c r="F34" s="66" t="n"/>
      <c r="G34" s="66" t="n"/>
      <c r="H34" s="66" t="n"/>
      <c r="I34" s="67" t="n"/>
    </row>
    <row r="35" ht="20" customHeight="1">
      <c r="B35" s="73" t="inlineStr">
        <is>
          <t>Long term, I'd like to either achieve MSG or pursue a warrant officer program if my career path allows. I want to finish my bachelor's degree and remain in Montana.</t>
        </is>
      </c>
      <c r="C35" s="93" t="n"/>
      <c r="D35" s="93" t="n"/>
      <c r="E35" s="93" t="n"/>
      <c r="F35" s="93" t="n"/>
      <c r="G35" s="93" t="n"/>
      <c r="H35" s="93" t="n"/>
      <c r="I35" s="94" t="n"/>
    </row>
    <row r="36" ht="20" customHeight="1">
      <c r="B36" s="95" t="n"/>
      <c r="I36" s="96" t="n"/>
    </row>
    <row r="37" ht="20" customHeight="1">
      <c r="B37" s="97" t="n"/>
      <c r="C37" s="98" t="n"/>
      <c r="D37" s="98" t="n"/>
      <c r="E37" s="98" t="n"/>
      <c r="F37" s="98" t="n"/>
      <c r="G37" s="98" t="n"/>
      <c r="H37" s="98" t="n"/>
      <c r="I37" s="99" t="n"/>
    </row>
    <row r="39" ht="22" customHeight="1">
      <c r="B39" s="74" t="inlineStr">
        <is>
          <t>SECTION 4 — ADDITIONAL CAREER INFORMATION</t>
        </is>
      </c>
      <c r="C39" s="66" t="n"/>
      <c r="D39" s="66" t="n"/>
      <c r="E39" s="66" t="n"/>
      <c r="F39" s="66" t="n"/>
      <c r="G39" s="66" t="n"/>
      <c r="H39" s="66" t="n"/>
      <c r="I39" s="67" t="n"/>
    </row>
    <row r="40" ht="20" customHeight="1">
      <c r="B40" s="64" t="inlineStr">
        <is>
          <t>Have you been to any command/KD position?</t>
        </is>
      </c>
      <c r="C40" s="65" t="inlineStr">
        <is>
          <t>No</t>
        </is>
      </c>
      <c r="D40" s="64" t="inlineStr">
        <is>
          <t>Currently promotable (P)?</t>
        </is>
      </c>
      <c r="E40" s="65" t="inlineStr">
        <is>
          <t>No</t>
        </is>
      </c>
      <c r="F40" s="64" t="inlineStr">
        <is>
          <t>On promotion list for current grade?</t>
        </is>
      </c>
      <c r="G40" s="65" t="inlineStr">
        <is>
          <t>No</t>
        </is>
      </c>
    </row>
    <row r="41" ht="24" customHeight="1">
      <c r="B41" s="64" t="inlineStr">
        <is>
          <t>Previous Key Assignments (summarize)</t>
        </is>
      </c>
      <c r="C41" s="75" t="inlineStr">
        <is>
          <t>SPC - 92Y supply tech at 495th CSSC; SGT - acting supply NCOIC during annual training 2025</t>
        </is>
      </c>
      <c r="D41" s="66" t="n"/>
      <c r="E41" s="66" t="n"/>
      <c r="F41" s="66" t="n"/>
      <c r="G41" s="66" t="n"/>
      <c r="H41" s="66" t="n"/>
      <c r="I41" s="67" t="n"/>
    </row>
    <row r="42" ht="20" customHeight="1">
      <c r="B42" s="64" t="inlineStr">
        <is>
          <t>Physical Fitness Status</t>
        </is>
      </c>
      <c r="C42" s="65" t="inlineStr">
        <is>
          <t>Passing</t>
        </is>
      </c>
      <c r="D42" s="64" t="inlineStr">
        <is>
          <t>Security Clearance Level</t>
        </is>
      </c>
      <c r="E42" s="65" t="inlineStr">
        <is>
          <t>Secret</t>
        </is>
      </c>
      <c r="F42" s="64" t="inlineStr">
        <is>
          <t>Deployment / GWOT Service</t>
        </is>
      </c>
      <c r="G42" s="65" t="inlineStr">
        <is>
          <t>1 deployment (Afghanistan 2021)</t>
        </is>
      </c>
      <c r="H42" s="67" t="n"/>
    </row>
    <row r="43" ht="20" customHeight="1">
      <c r="B43" s="64" t="inlineStr">
        <is>
          <t>Awards / Distinction (brief summary)</t>
        </is>
      </c>
      <c r="C43" s="75" t="inlineStr">
        <is>
          <t>Army Achievement Medal x2, Army Commendation Medal, Expert Infantryman Badge</t>
        </is>
      </c>
      <c r="D43" s="66" t="n"/>
      <c r="E43" s="66" t="n"/>
      <c r="F43" s="66" t="n"/>
      <c r="G43" s="66" t="n"/>
      <c r="H43" s="66" t="n"/>
      <c r="I43" s="67" t="n"/>
    </row>
    <row r="44" ht="20" customHeight="1">
      <c r="B44" s="64" t="inlineStr">
        <is>
          <t>Mentor Name (if identified)</t>
        </is>
      </c>
      <c r="C44" s="65" t="inlineStr"/>
      <c r="D44" s="64" t="inlineStr">
        <is>
          <t>Mentor Rank / Role</t>
        </is>
      </c>
      <c r="E44" s="65" t="inlineStr"/>
      <c r="F44" s="64" t="inlineStr">
        <is>
          <t>Senior Rater Name</t>
        </is>
      </c>
      <c r="G44" s="65" t="inlineStr"/>
      <c r="H44" s="67" t="n"/>
    </row>
    <row r="45" ht="20" customHeight="1"/>
    <row r="46" ht="18" customHeight="1">
      <c r="B46" s="76" t="inlineStr">
        <is>
          <t>KEY PROFILE CELLS (used by CALC ENGINE) → Rank=C6 | Category=E6 | Status=G6 | MOS=C7 | HomeCity=C10 | MaxCommute=G10 | TargetRank=C25 | PrimaryGoal=C26 | PositionType=C27 | SwitchMOS=G27</t>
        </is>
      </c>
    </row>
    <row r="47" ht="20" customHeight="1"/>
    <row r="48" ht="20" customHeight="1"/>
    <row r="49" ht="20" customHeight="1"/>
  </sheetData>
  <mergeCells count="30">
    <mergeCell ref="B35:I37"/>
    <mergeCell ref="G11:H11"/>
    <mergeCell ref="G42:H42"/>
    <mergeCell ref="C9:E9"/>
    <mergeCell ref="G8:H8"/>
    <mergeCell ref="B46:I46"/>
    <mergeCell ref="B31:I33"/>
    <mergeCell ref="H6:I6"/>
    <mergeCell ref="G7:H7"/>
    <mergeCell ref="B39:I39"/>
    <mergeCell ref="B2:I2"/>
    <mergeCell ref="C8:E8"/>
    <mergeCell ref="B14:I14"/>
    <mergeCell ref="G28:H28"/>
    <mergeCell ref="B1:I1"/>
    <mergeCell ref="B34:I34"/>
    <mergeCell ref="G5:H5"/>
    <mergeCell ref="G26:H26"/>
    <mergeCell ref="C41:I41"/>
    <mergeCell ref="B30:I30"/>
    <mergeCell ref="B15:C15"/>
    <mergeCell ref="C5:E5"/>
    <mergeCell ref="D15:E15"/>
    <mergeCell ref="B24:I24"/>
    <mergeCell ref="C43:I43"/>
    <mergeCell ref="C26:E26"/>
    <mergeCell ref="G44:H44"/>
    <mergeCell ref="G22:H22"/>
    <mergeCell ref="F15:H15"/>
    <mergeCell ref="B4:I4"/>
  </mergeCells>
  <dataValidations count="34">
    <dataValidation sqref="C6" showDropDown="0" showInputMessage="0" showErrorMessage="1" allowBlank="1" errorTitle="Invalid Entry" error="Please select from the list." type="list">
      <formula1>"E1,E2,E3,E4,E5,E6,E7,E8,E9,W1,W2,W3,W4,W5,O1,O2,O3,O4,O5,O6"</formula1>
    </dataValidation>
    <dataValidation sqref="E6" showDropDown="0" showInputMessage="0" showErrorMessage="1" allowBlank="1" errorTitle="Invalid Entry" error="Please select from the list." type="list">
      <formula1>"Enlisted,Officer,Warrant"</formula1>
    </dataValidation>
    <dataValidation sqref="G6" showDropDown="0" showInputMessage="0" showErrorMessage="1" allowBlank="1" errorTitle="Invalid Entry" error="Please select from the list." type="list">
      <formula1>"M-Day,AGR,Technician,ADOS,IRR"</formula1>
    </dataValidation>
    <dataValidation sqref="G9" showDropDown="0" showInputMessage="0" showErrorMessage="1" allowBlank="1" errorTitle="Invalid Entry" error="Please select from the list." type="list">
      <formula1>"Billings,Bozeman,Butte,Great Falls,Helena,Kalispell,Missoula,Miles City,Dillon,Havre,Lewistown,Livingston,Glendive,Glasgow,Wolf Point,Whitefish,Anaconda,Shelby"</formula1>
    </dataValidation>
    <dataValidation sqref="C10" showDropDown="0" showInputMessage="0" showErrorMessage="1" allowBlank="1" errorTitle="Invalid Entry" error="Please select from the list." type="list">
      <formula1>"Billings,Bozeman,Butte,Great Falls,Helena,Kalispell,Missoula,Miles City,Dillon,Havre,Lewistown,Livingston,Glendive,Glasgow,Wolf Point,Whitefish,Anaconda,Shelby"</formula1>
    </dataValidation>
    <dataValidation sqref="G10" showDropDown="0" showInputMessage="0" showErrorMessage="1" allowBlank="1" errorTitle="Invalid Entry" error="Please select from the list." type="list">
      <formula1>"30 Minutes,1 Hour,1.5 Hours,2 Hours,3 Hours,No Limit"</formula1>
    </dataValidation>
    <dataValidation sqref="G12" showDropDown="0" showInputMessage="0" showErrorMessage="1" allowBlank="1" errorTitle="Invalid Entry" error="Please select from the list." type="list">
      <formula1>"Yes,No,Maybe"</formula1>
    </dataValidation>
    <dataValidation sqref="C16" showDropDown="0" showInputMessage="0" showErrorMessage="1" allowBlank="1" errorTitle="Invalid Entry" error="Please select from the list." type="list">
      <formula1>"Yes,No,In Progress,N/A"</formula1>
    </dataValidation>
    <dataValidation sqref="C17" showDropDown="0" showInputMessage="0" showErrorMessage="1" allowBlank="1" errorTitle="Invalid Entry" error="Please select from the list." type="list">
      <formula1>"Yes,No,In Progress,N/A"</formula1>
    </dataValidation>
    <dataValidation sqref="C18" showDropDown="0" showInputMessage="0" showErrorMessage="1" allowBlank="1" errorTitle="Invalid Entry" error="Please select from the list." type="list">
      <formula1>"Yes,No,In Progress,N/A"</formula1>
    </dataValidation>
    <dataValidation sqref="C19" showDropDown="0" showInputMessage="0" showErrorMessage="1" allowBlank="1" errorTitle="Invalid Entry" error="Please select from the list." type="list">
      <formula1>"Yes,No,In Progress,N/A"</formula1>
    </dataValidation>
    <dataValidation sqref="C20" showDropDown="0" showInputMessage="0" showErrorMessage="1" allowBlank="1" errorTitle="Invalid Entry" error="Please select from the list." type="list">
      <formula1>"Yes,No,In Progress,N/A"</formula1>
    </dataValidation>
    <dataValidation sqref="C21" showDropDown="0" showInputMessage="0" showErrorMessage="1" allowBlank="1" errorTitle="Invalid Entry" error="Please select from the list." type="list">
      <formula1>"Yes,No,In Progress,N/A"</formula1>
    </dataValidation>
    <dataValidation sqref="E16" showDropDown="0" showInputMessage="0" showErrorMessage="1" allowBlank="1" errorTitle="Invalid Entry" error="Please select from the list." type="list">
      <formula1>"Yes,No,In Progress,N/A"</formula1>
    </dataValidation>
    <dataValidation sqref="E17" showDropDown="0" showInputMessage="0" showErrorMessage="1" allowBlank="1" errorTitle="Invalid Entry" error="Please select from the list." type="list">
      <formula1>"Yes,No,In Progress,N/A"</formula1>
    </dataValidation>
    <dataValidation sqref="E18" showDropDown="0" showInputMessage="0" showErrorMessage="1" allowBlank="1" errorTitle="Invalid Entry" error="Please select from the list." type="list">
      <formula1>"Yes,No,In Progress,N/A"</formula1>
    </dataValidation>
    <dataValidation sqref="E19" showDropDown="0" showInputMessage="0" showErrorMessage="1" allowBlank="1" errorTitle="Invalid Entry" error="Please select from the list." type="list">
      <formula1>"Yes,No,In Progress,N/A"</formula1>
    </dataValidation>
    <dataValidation sqref="G16" showDropDown="0" showInputMessage="0" showErrorMessage="1" allowBlank="1" errorTitle="Invalid Entry" error="Please select from the list." type="list">
      <formula1>"Yes,No,In Progress,N/A"</formula1>
    </dataValidation>
    <dataValidation sqref="G17" showDropDown="0" showInputMessage="0" showErrorMessage="1" allowBlank="1" errorTitle="Invalid Entry" error="Please select from the list." type="list">
      <formula1>"Yes,No,In Progress,N/A"</formula1>
    </dataValidation>
    <dataValidation sqref="G18" showDropDown="0" showInputMessage="0" showErrorMessage="1" allowBlank="1" errorTitle="Invalid Entry" error="Please select from the list." type="list">
      <formula1>"Yes,No,In Progress,N/A"</formula1>
    </dataValidation>
    <dataValidation sqref="G19" showDropDown="0" showInputMessage="0" showErrorMessage="1" allowBlank="1" errorTitle="Invalid Entry" error="Please select from the list." type="list">
      <formula1>"Yes,No,In Progress,N/A"</formula1>
    </dataValidation>
    <dataValidation sqref="C22" showDropDown="0" showInputMessage="0" showErrorMessage="1" allowBlank="1" errorTitle="Invalid Entry" error="Please select from the list." type="list">
      <formula1>"High School / GED,Some College,Associate Degree,Bachelor's Degree,Master's Degree,Doctoral Degree"</formula1>
    </dataValidation>
    <dataValidation sqref="C25" showDropDown="0" showInputMessage="0" showErrorMessage="1" allowBlank="1" errorTitle="Invalid Entry" error="Please select from the list." type="list">
      <formula1>"E5,E6,E7,E8,E9,W2,W3,W4,W5,O2,O3,O4,O5,O6"</formula1>
    </dataValidation>
    <dataValidation sqref="G25" showDropDown="0" showInputMessage="0" showErrorMessage="1" allowBlank="1" errorTitle="Invalid Entry" error="Please select from the list." type="list">
      <formula1>"M-Day,AGR,Technician,ADOS,Either"</formula1>
    </dataValidation>
    <dataValidation sqref="C26" showDropDown="0" showInputMessage="0" showErrorMessage="1" allowBlank="1" errorTitle="Invalid Entry" error="Please select from the list." type="list">
      <formula1>"Promote to Next Grade,Switch MOS/Branch,Pursue AGR Full-Time,Pursue Command,Move to Staff,Become Warrant Officer,Pursue Senior Leader Path,Broaden Experience,Transition to AGR,Retire in Current Grade"</formula1>
    </dataValidation>
    <dataValidation sqref="C27" showDropDown="0" showInputMessage="0" showErrorMessage="1" allowBlank="1" errorTitle="Invalid Entry" error="Please select from the list." type="list">
      <formula1>"Leadership,Staff,Command,Technical,Broadening,Any"</formula1>
    </dataValidation>
    <dataValidation sqref="E27" showDropDown="0" showInputMessage="0" showErrorMessage="1" allowBlank="1" errorTitle="Invalid Entry" error="Please select from the list." type="list">
      <formula1>"Yes,No,In a few years"</formula1>
    </dataValidation>
    <dataValidation sqref="G27" showDropDown="0" showInputMessage="0" showErrorMessage="1" allowBlank="1" errorTitle="Invalid Entry" error="Please select from the list." type="list">
      <formula1>"Yes,No,Considering it"</formula1>
    </dataValidation>
    <dataValidation sqref="E28" showDropDown="0" showInputMessage="0" showErrorMessage="1" allowBlank="1" errorTitle="Invalid Entry" error="Please select from the list." type="list">
      <formula1>"Yes - Active interest,No,Considering it"</formula1>
    </dataValidation>
    <dataValidation sqref="C40" showDropDown="0" showInputMessage="0" showErrorMessage="1" allowBlank="1" errorTitle="Invalid Entry" error="Please select from the list." type="list">
      <formula1>"Yes,No"</formula1>
    </dataValidation>
    <dataValidation sqref="E40" showDropDown="0" showInputMessage="0" showErrorMessage="1" allowBlank="1" errorTitle="Invalid Entry" error="Please select from the list." type="list">
      <formula1>"Yes,No"</formula1>
    </dataValidation>
    <dataValidation sqref="G40" showDropDown="0" showInputMessage="0" showErrorMessage="1" allowBlank="1" errorTitle="Invalid Entry" error="Please select from the list." type="list">
      <formula1>"Yes,No"</formula1>
    </dataValidation>
    <dataValidation sqref="C42" showDropDown="0" showInputMessage="0" showErrorMessage="1" allowBlank="1" errorTitle="Invalid Entry" error="Please select from the list." type="list">
      <formula1>"Passing,Failing,Profile,Outstanding"</formula1>
    </dataValidation>
    <dataValidation sqref="E42" showDropDown="0" showInputMessage="0" showErrorMessage="1" allowBlank="1" errorTitle="Invalid Entry" error="Please select from the list." type="list">
      <formula1>"None,Confidential,Secret,Top Secret,TS/SCI"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B1:U8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6" customWidth="1" min="4" max="4"/>
    <col width="26" customWidth="1" min="5" max="5"/>
    <col width="8" customWidth="1" min="6" max="6"/>
    <col width="10" customWidth="1" min="7" max="7"/>
    <col width="10" customWidth="1" min="8" max="8"/>
    <col width="14" customWidth="1" min="9" max="9"/>
    <col width="10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22" customWidth="1" min="19" max="19"/>
    <col width="14" customWidth="1" min="20" max="20"/>
  </cols>
  <sheetData>
    <row r="1" ht="30" customHeight="1">
      <c r="B1" s="77" t="inlineStr">
        <is>
          <t>POSITION MATCHES  |  Scores update automatically when you change MY PROFILE</t>
        </is>
      </c>
    </row>
    <row r="2" ht="20" customHeight="1">
      <c r="B2" s="78">
        <f>" Soldier: "&amp;'MY PROFILE'!C6&amp;" "&amp;'MY PROFILE'!E6&amp;"  |  MOS: "&amp;'MY PROFILE'!C7&amp;"  |  Home: "&amp;'MY PROFILE'!C10&amp;"  |  Target: "&amp;'MY PROFILE'!C25&amp;"  |  Goal: "&amp;'MY PROFILE'!C26</f>
        <v/>
      </c>
    </row>
    <row r="4" ht="20" customHeight="1">
      <c r="C4" s="79" t="inlineStr">
        <is>
          <t>STRONG MATCH</t>
        </is>
      </c>
      <c r="D4" s="100" t="n"/>
      <c r="E4" s="80" t="inlineStr">
        <is>
          <t>GOOD MATCH</t>
        </is>
      </c>
      <c r="F4" s="100" t="n"/>
      <c r="G4" s="81" t="inlineStr">
        <is>
          <t>MODERATE / STRETCH</t>
        </is>
      </c>
      <c r="H4" s="100" t="n"/>
      <c r="I4" s="82" t="inlineStr">
        <is>
          <t>POSSIBLE — GAPS</t>
        </is>
      </c>
      <c r="J4" s="100" t="n"/>
      <c r="K4" s="83" t="inlineStr">
        <is>
          <t>NOT RECOMMENDED</t>
        </is>
      </c>
      <c r="L4" s="100" t="n"/>
    </row>
    <row r="5" ht="32" customHeight="1">
      <c r="B5" s="84" t="inlineStr">
        <is>
          <t>#</t>
        </is>
      </c>
      <c r="C5" s="84" t="inlineStr">
        <is>
          <t>Rank</t>
        </is>
      </c>
      <c r="D5" s="84" t="inlineStr">
        <is>
          <t>Unit</t>
        </is>
      </c>
      <c r="E5" s="84" t="inlineStr">
        <is>
          <t>City</t>
        </is>
      </c>
      <c r="F5" s="84" t="inlineStr">
        <is>
          <t>Duty Title</t>
        </is>
      </c>
      <c r="G5" s="84" t="inlineStr">
        <is>
          <t>Grade</t>
        </is>
      </c>
      <c r="H5" s="84" t="inlineStr">
        <is>
          <t>Cat</t>
        </is>
      </c>
      <c r="I5" s="84" t="inlineStr">
        <is>
          <t>MOS</t>
        </is>
      </c>
      <c r="J5" s="84" t="inlineStr">
        <is>
          <t>Position Type</t>
        </is>
      </c>
      <c r="K5" s="84" t="inlineStr">
        <is>
          <t>KD?</t>
        </is>
      </c>
      <c r="L5" s="84" t="inlineStr">
        <is>
          <t>Status</t>
        </is>
      </c>
      <c r="M5" s="84" t="inlineStr">
        <is>
          <t>Vacancy</t>
        </is>
      </c>
      <c r="N5" s="84" t="inlineStr">
        <is>
          <t>Grade
Score</t>
        </is>
      </c>
      <c r="O5" s="84" t="inlineStr">
        <is>
          <t>MOS
Score</t>
        </is>
      </c>
      <c r="P5" s="84" t="inlineStr">
        <is>
          <t>Commute
Score</t>
        </is>
      </c>
      <c r="Q5" s="84" t="inlineStr">
        <is>
          <t>Goal
Score</t>
        </is>
      </c>
      <c r="R5" s="84" t="inlineStr">
        <is>
          <t>Status
Score</t>
        </is>
      </c>
      <c r="S5" s="84" t="inlineStr">
        <is>
          <t>TOTAL
SCORE</t>
        </is>
      </c>
      <c r="T5" s="84" t="inlineStr">
        <is>
          <t>MATCH LABEL</t>
        </is>
      </c>
      <c r="U5" s="84" t="inlineStr">
        <is>
          <t>Commute
(min)</t>
        </is>
      </c>
    </row>
    <row r="6" ht="18" customHeight="1">
      <c r="B6" s="85" t="n">
        <v>1</v>
      </c>
      <c r="C6" s="86">
        <f>'CALC ENGINE'!B3</f>
        <v/>
      </c>
      <c r="D6" s="86">
        <f>'CALC ENGINE'!C3</f>
        <v/>
      </c>
      <c r="E6" s="86">
        <f>'CALC ENGINE'!D3</f>
        <v/>
      </c>
      <c r="F6" s="87">
        <f>'CALC ENGINE'!E3</f>
        <v/>
      </c>
      <c r="G6" s="87">
        <f>'CALC ENGINE'!F3</f>
        <v/>
      </c>
      <c r="H6" s="87">
        <f>'CALC ENGINE'!G3</f>
        <v/>
      </c>
      <c r="I6" s="86">
        <f>'CALC ENGINE'!H3</f>
        <v/>
      </c>
      <c r="J6" s="87">
        <f>'CALC ENGINE'!I3</f>
        <v/>
      </c>
      <c r="K6" s="87">
        <f>'CALC ENGINE'!J3</f>
        <v/>
      </c>
      <c r="L6" s="87">
        <f>'CALC ENGINE'!K3</f>
        <v/>
      </c>
      <c r="M6" s="87">
        <f>'CALC ENGINE'!M3</f>
        <v/>
      </c>
      <c r="N6" s="87">
        <f>'CALC ENGINE'!N3</f>
        <v/>
      </c>
      <c r="O6" s="87">
        <f>'CALC ENGINE'!O3</f>
        <v/>
      </c>
      <c r="P6" s="87">
        <f>'CALC ENGINE'!P3</f>
        <v/>
      </c>
      <c r="Q6" s="87">
        <f>'CALC ENGINE'!Q3</f>
        <v/>
      </c>
      <c r="R6" s="87">
        <f>'CALC ENGINE'!R3</f>
        <v/>
      </c>
      <c r="S6" s="86">
        <f>'CALC ENGINE'!S3</f>
        <v/>
      </c>
      <c r="T6" s="87">
        <f>'CALC ENGINE'!T3</f>
        <v/>
      </c>
    </row>
    <row r="7" ht="18" customHeight="1">
      <c r="B7" s="85" t="n">
        <v>2</v>
      </c>
      <c r="C7" s="88">
        <f>'CALC ENGINE'!B4</f>
        <v/>
      </c>
      <c r="D7" s="88">
        <f>'CALC ENGINE'!C4</f>
        <v/>
      </c>
      <c r="E7" s="88">
        <f>'CALC ENGINE'!D4</f>
        <v/>
      </c>
      <c r="F7" s="89">
        <f>'CALC ENGINE'!E4</f>
        <v/>
      </c>
      <c r="G7" s="89">
        <f>'CALC ENGINE'!F4</f>
        <v/>
      </c>
      <c r="H7" s="89">
        <f>'CALC ENGINE'!G4</f>
        <v/>
      </c>
      <c r="I7" s="88">
        <f>'CALC ENGINE'!H4</f>
        <v/>
      </c>
      <c r="J7" s="89">
        <f>'CALC ENGINE'!I4</f>
        <v/>
      </c>
      <c r="K7" s="89">
        <f>'CALC ENGINE'!J4</f>
        <v/>
      </c>
      <c r="L7" s="89">
        <f>'CALC ENGINE'!K4</f>
        <v/>
      </c>
      <c r="M7" s="89">
        <f>'CALC ENGINE'!M4</f>
        <v/>
      </c>
      <c r="N7" s="89">
        <f>'CALC ENGINE'!N4</f>
        <v/>
      </c>
      <c r="O7" s="89">
        <f>'CALC ENGINE'!O4</f>
        <v/>
      </c>
      <c r="P7" s="89">
        <f>'CALC ENGINE'!P4</f>
        <v/>
      </c>
      <c r="Q7" s="89">
        <f>'CALC ENGINE'!Q4</f>
        <v/>
      </c>
      <c r="R7" s="89">
        <f>'CALC ENGINE'!R4</f>
        <v/>
      </c>
      <c r="S7" s="88">
        <f>'CALC ENGINE'!S4</f>
        <v/>
      </c>
      <c r="T7" s="89">
        <f>'CALC ENGINE'!T4</f>
        <v/>
      </c>
    </row>
    <row r="8" ht="18" customHeight="1">
      <c r="B8" s="85" t="n">
        <v>3</v>
      </c>
      <c r="C8" s="86">
        <f>'CALC ENGINE'!B5</f>
        <v/>
      </c>
      <c r="D8" s="86">
        <f>'CALC ENGINE'!C5</f>
        <v/>
      </c>
      <c r="E8" s="86">
        <f>'CALC ENGINE'!D5</f>
        <v/>
      </c>
      <c r="F8" s="87">
        <f>'CALC ENGINE'!E5</f>
        <v/>
      </c>
      <c r="G8" s="87">
        <f>'CALC ENGINE'!F5</f>
        <v/>
      </c>
      <c r="H8" s="87">
        <f>'CALC ENGINE'!G5</f>
        <v/>
      </c>
      <c r="I8" s="86">
        <f>'CALC ENGINE'!H5</f>
        <v/>
      </c>
      <c r="J8" s="87">
        <f>'CALC ENGINE'!I5</f>
        <v/>
      </c>
      <c r="K8" s="87">
        <f>'CALC ENGINE'!J5</f>
        <v/>
      </c>
      <c r="L8" s="87">
        <f>'CALC ENGINE'!K5</f>
        <v/>
      </c>
      <c r="M8" s="87">
        <f>'CALC ENGINE'!M5</f>
        <v/>
      </c>
      <c r="N8" s="87">
        <f>'CALC ENGINE'!N5</f>
        <v/>
      </c>
      <c r="O8" s="87">
        <f>'CALC ENGINE'!O5</f>
        <v/>
      </c>
      <c r="P8" s="87">
        <f>'CALC ENGINE'!P5</f>
        <v/>
      </c>
      <c r="Q8" s="87">
        <f>'CALC ENGINE'!Q5</f>
        <v/>
      </c>
      <c r="R8" s="87">
        <f>'CALC ENGINE'!R5</f>
        <v/>
      </c>
      <c r="S8" s="86">
        <f>'CALC ENGINE'!S5</f>
        <v/>
      </c>
      <c r="T8" s="87">
        <f>'CALC ENGINE'!T5</f>
        <v/>
      </c>
    </row>
    <row r="9" ht="18" customHeight="1">
      <c r="B9" s="85" t="n">
        <v>4</v>
      </c>
      <c r="C9" s="88">
        <f>'CALC ENGINE'!B6</f>
        <v/>
      </c>
      <c r="D9" s="88">
        <f>'CALC ENGINE'!C6</f>
        <v/>
      </c>
      <c r="E9" s="88">
        <f>'CALC ENGINE'!D6</f>
        <v/>
      </c>
      <c r="F9" s="89">
        <f>'CALC ENGINE'!E6</f>
        <v/>
      </c>
      <c r="G9" s="89">
        <f>'CALC ENGINE'!F6</f>
        <v/>
      </c>
      <c r="H9" s="89">
        <f>'CALC ENGINE'!G6</f>
        <v/>
      </c>
      <c r="I9" s="88">
        <f>'CALC ENGINE'!H6</f>
        <v/>
      </c>
      <c r="J9" s="89">
        <f>'CALC ENGINE'!I6</f>
        <v/>
      </c>
      <c r="K9" s="89">
        <f>'CALC ENGINE'!J6</f>
        <v/>
      </c>
      <c r="L9" s="89">
        <f>'CALC ENGINE'!K6</f>
        <v/>
      </c>
      <c r="M9" s="89">
        <f>'CALC ENGINE'!M6</f>
        <v/>
      </c>
      <c r="N9" s="89">
        <f>'CALC ENGINE'!N6</f>
        <v/>
      </c>
      <c r="O9" s="89">
        <f>'CALC ENGINE'!O6</f>
        <v/>
      </c>
      <c r="P9" s="89">
        <f>'CALC ENGINE'!P6</f>
        <v/>
      </c>
      <c r="Q9" s="89">
        <f>'CALC ENGINE'!Q6</f>
        <v/>
      </c>
      <c r="R9" s="89">
        <f>'CALC ENGINE'!R6</f>
        <v/>
      </c>
      <c r="S9" s="88">
        <f>'CALC ENGINE'!S6</f>
        <v/>
      </c>
      <c r="T9" s="89">
        <f>'CALC ENGINE'!T6</f>
        <v/>
      </c>
    </row>
    <row r="10" ht="18" customHeight="1">
      <c r="B10" s="85" t="n">
        <v>5</v>
      </c>
      <c r="C10" s="86">
        <f>'CALC ENGINE'!B7</f>
        <v/>
      </c>
      <c r="D10" s="86">
        <f>'CALC ENGINE'!C7</f>
        <v/>
      </c>
      <c r="E10" s="86">
        <f>'CALC ENGINE'!D7</f>
        <v/>
      </c>
      <c r="F10" s="87">
        <f>'CALC ENGINE'!E7</f>
        <v/>
      </c>
      <c r="G10" s="87">
        <f>'CALC ENGINE'!F7</f>
        <v/>
      </c>
      <c r="H10" s="87">
        <f>'CALC ENGINE'!G7</f>
        <v/>
      </c>
      <c r="I10" s="86">
        <f>'CALC ENGINE'!H7</f>
        <v/>
      </c>
      <c r="J10" s="87">
        <f>'CALC ENGINE'!I7</f>
        <v/>
      </c>
      <c r="K10" s="87">
        <f>'CALC ENGINE'!J7</f>
        <v/>
      </c>
      <c r="L10" s="87">
        <f>'CALC ENGINE'!K7</f>
        <v/>
      </c>
      <c r="M10" s="87">
        <f>'CALC ENGINE'!M7</f>
        <v/>
      </c>
      <c r="N10" s="87">
        <f>'CALC ENGINE'!N7</f>
        <v/>
      </c>
      <c r="O10" s="87">
        <f>'CALC ENGINE'!O7</f>
        <v/>
      </c>
      <c r="P10" s="87">
        <f>'CALC ENGINE'!P7</f>
        <v/>
      </c>
      <c r="Q10" s="87">
        <f>'CALC ENGINE'!Q7</f>
        <v/>
      </c>
      <c r="R10" s="87">
        <f>'CALC ENGINE'!R7</f>
        <v/>
      </c>
      <c r="S10" s="86">
        <f>'CALC ENGINE'!S7</f>
        <v/>
      </c>
      <c r="T10" s="87">
        <f>'CALC ENGINE'!T7</f>
        <v/>
      </c>
    </row>
    <row r="11" ht="18" customHeight="1">
      <c r="B11" s="85" t="n">
        <v>6</v>
      </c>
      <c r="C11" s="88">
        <f>'CALC ENGINE'!B8</f>
        <v/>
      </c>
      <c r="D11" s="88">
        <f>'CALC ENGINE'!C8</f>
        <v/>
      </c>
      <c r="E11" s="88">
        <f>'CALC ENGINE'!D8</f>
        <v/>
      </c>
      <c r="F11" s="89">
        <f>'CALC ENGINE'!E8</f>
        <v/>
      </c>
      <c r="G11" s="89">
        <f>'CALC ENGINE'!F8</f>
        <v/>
      </c>
      <c r="H11" s="89">
        <f>'CALC ENGINE'!G8</f>
        <v/>
      </c>
      <c r="I11" s="88">
        <f>'CALC ENGINE'!H8</f>
        <v/>
      </c>
      <c r="J11" s="89">
        <f>'CALC ENGINE'!I8</f>
        <v/>
      </c>
      <c r="K11" s="89">
        <f>'CALC ENGINE'!J8</f>
        <v/>
      </c>
      <c r="L11" s="89">
        <f>'CALC ENGINE'!K8</f>
        <v/>
      </c>
      <c r="M11" s="89">
        <f>'CALC ENGINE'!M8</f>
        <v/>
      </c>
      <c r="N11" s="89">
        <f>'CALC ENGINE'!N8</f>
        <v/>
      </c>
      <c r="O11" s="89">
        <f>'CALC ENGINE'!O8</f>
        <v/>
      </c>
      <c r="P11" s="89">
        <f>'CALC ENGINE'!P8</f>
        <v/>
      </c>
      <c r="Q11" s="89">
        <f>'CALC ENGINE'!Q8</f>
        <v/>
      </c>
      <c r="R11" s="89">
        <f>'CALC ENGINE'!R8</f>
        <v/>
      </c>
      <c r="S11" s="88">
        <f>'CALC ENGINE'!S8</f>
        <v/>
      </c>
      <c r="T11" s="89">
        <f>'CALC ENGINE'!T8</f>
        <v/>
      </c>
    </row>
    <row r="12" ht="18" customHeight="1">
      <c r="B12" s="85" t="n">
        <v>7</v>
      </c>
      <c r="C12" s="86">
        <f>'CALC ENGINE'!B9</f>
        <v/>
      </c>
      <c r="D12" s="86">
        <f>'CALC ENGINE'!C9</f>
        <v/>
      </c>
      <c r="E12" s="86">
        <f>'CALC ENGINE'!D9</f>
        <v/>
      </c>
      <c r="F12" s="87">
        <f>'CALC ENGINE'!E9</f>
        <v/>
      </c>
      <c r="G12" s="87">
        <f>'CALC ENGINE'!F9</f>
        <v/>
      </c>
      <c r="H12" s="87">
        <f>'CALC ENGINE'!G9</f>
        <v/>
      </c>
      <c r="I12" s="86">
        <f>'CALC ENGINE'!H9</f>
        <v/>
      </c>
      <c r="J12" s="87">
        <f>'CALC ENGINE'!I9</f>
        <v/>
      </c>
      <c r="K12" s="87">
        <f>'CALC ENGINE'!J9</f>
        <v/>
      </c>
      <c r="L12" s="87">
        <f>'CALC ENGINE'!K9</f>
        <v/>
      </c>
      <c r="M12" s="87">
        <f>'CALC ENGINE'!M9</f>
        <v/>
      </c>
      <c r="N12" s="87">
        <f>'CALC ENGINE'!N9</f>
        <v/>
      </c>
      <c r="O12" s="87">
        <f>'CALC ENGINE'!O9</f>
        <v/>
      </c>
      <c r="P12" s="87">
        <f>'CALC ENGINE'!P9</f>
        <v/>
      </c>
      <c r="Q12" s="87">
        <f>'CALC ENGINE'!Q9</f>
        <v/>
      </c>
      <c r="R12" s="87">
        <f>'CALC ENGINE'!R9</f>
        <v/>
      </c>
      <c r="S12" s="86">
        <f>'CALC ENGINE'!S9</f>
        <v/>
      </c>
      <c r="T12" s="87">
        <f>'CALC ENGINE'!T9</f>
        <v/>
      </c>
    </row>
    <row r="13" ht="18" customHeight="1">
      <c r="B13" s="85" t="n">
        <v>8</v>
      </c>
      <c r="C13" s="88">
        <f>'CALC ENGINE'!B10</f>
        <v/>
      </c>
      <c r="D13" s="88">
        <f>'CALC ENGINE'!C10</f>
        <v/>
      </c>
      <c r="E13" s="88">
        <f>'CALC ENGINE'!D10</f>
        <v/>
      </c>
      <c r="F13" s="89">
        <f>'CALC ENGINE'!E10</f>
        <v/>
      </c>
      <c r="G13" s="89">
        <f>'CALC ENGINE'!F10</f>
        <v/>
      </c>
      <c r="H13" s="89">
        <f>'CALC ENGINE'!G10</f>
        <v/>
      </c>
      <c r="I13" s="88">
        <f>'CALC ENGINE'!H10</f>
        <v/>
      </c>
      <c r="J13" s="89">
        <f>'CALC ENGINE'!I10</f>
        <v/>
      </c>
      <c r="K13" s="89">
        <f>'CALC ENGINE'!J10</f>
        <v/>
      </c>
      <c r="L13" s="89">
        <f>'CALC ENGINE'!K10</f>
        <v/>
      </c>
      <c r="M13" s="89">
        <f>'CALC ENGINE'!M10</f>
        <v/>
      </c>
      <c r="N13" s="89">
        <f>'CALC ENGINE'!N10</f>
        <v/>
      </c>
      <c r="O13" s="89">
        <f>'CALC ENGINE'!O10</f>
        <v/>
      </c>
      <c r="P13" s="89">
        <f>'CALC ENGINE'!P10</f>
        <v/>
      </c>
      <c r="Q13" s="89">
        <f>'CALC ENGINE'!Q10</f>
        <v/>
      </c>
      <c r="R13" s="89">
        <f>'CALC ENGINE'!R10</f>
        <v/>
      </c>
      <c r="S13" s="88">
        <f>'CALC ENGINE'!S10</f>
        <v/>
      </c>
      <c r="T13" s="89">
        <f>'CALC ENGINE'!T10</f>
        <v/>
      </c>
    </row>
    <row r="14" ht="18" customHeight="1">
      <c r="B14" s="85" t="n">
        <v>9</v>
      </c>
      <c r="C14" s="86">
        <f>'CALC ENGINE'!B11</f>
        <v/>
      </c>
      <c r="D14" s="86">
        <f>'CALC ENGINE'!C11</f>
        <v/>
      </c>
      <c r="E14" s="86">
        <f>'CALC ENGINE'!D11</f>
        <v/>
      </c>
      <c r="F14" s="87">
        <f>'CALC ENGINE'!E11</f>
        <v/>
      </c>
      <c r="G14" s="87">
        <f>'CALC ENGINE'!F11</f>
        <v/>
      </c>
      <c r="H14" s="87">
        <f>'CALC ENGINE'!G11</f>
        <v/>
      </c>
      <c r="I14" s="86">
        <f>'CALC ENGINE'!H11</f>
        <v/>
      </c>
      <c r="J14" s="87">
        <f>'CALC ENGINE'!I11</f>
        <v/>
      </c>
      <c r="K14" s="87">
        <f>'CALC ENGINE'!J11</f>
        <v/>
      </c>
      <c r="L14" s="87">
        <f>'CALC ENGINE'!K11</f>
        <v/>
      </c>
      <c r="M14" s="87">
        <f>'CALC ENGINE'!M11</f>
        <v/>
      </c>
      <c r="N14" s="87">
        <f>'CALC ENGINE'!N11</f>
        <v/>
      </c>
      <c r="O14" s="87">
        <f>'CALC ENGINE'!O11</f>
        <v/>
      </c>
      <c r="P14" s="87">
        <f>'CALC ENGINE'!P11</f>
        <v/>
      </c>
      <c r="Q14" s="87">
        <f>'CALC ENGINE'!Q11</f>
        <v/>
      </c>
      <c r="R14" s="87">
        <f>'CALC ENGINE'!R11</f>
        <v/>
      </c>
      <c r="S14" s="86">
        <f>'CALC ENGINE'!S11</f>
        <v/>
      </c>
      <c r="T14" s="87">
        <f>'CALC ENGINE'!T11</f>
        <v/>
      </c>
    </row>
    <row r="15" ht="18" customHeight="1">
      <c r="B15" s="85" t="n">
        <v>10</v>
      </c>
      <c r="C15" s="88">
        <f>'CALC ENGINE'!B12</f>
        <v/>
      </c>
      <c r="D15" s="88">
        <f>'CALC ENGINE'!C12</f>
        <v/>
      </c>
      <c r="E15" s="88">
        <f>'CALC ENGINE'!D12</f>
        <v/>
      </c>
      <c r="F15" s="89">
        <f>'CALC ENGINE'!E12</f>
        <v/>
      </c>
      <c r="G15" s="89">
        <f>'CALC ENGINE'!F12</f>
        <v/>
      </c>
      <c r="H15" s="89">
        <f>'CALC ENGINE'!G12</f>
        <v/>
      </c>
      <c r="I15" s="88">
        <f>'CALC ENGINE'!H12</f>
        <v/>
      </c>
      <c r="J15" s="89">
        <f>'CALC ENGINE'!I12</f>
        <v/>
      </c>
      <c r="K15" s="89">
        <f>'CALC ENGINE'!J12</f>
        <v/>
      </c>
      <c r="L15" s="89">
        <f>'CALC ENGINE'!K12</f>
        <v/>
      </c>
      <c r="M15" s="89">
        <f>'CALC ENGINE'!M12</f>
        <v/>
      </c>
      <c r="N15" s="89">
        <f>'CALC ENGINE'!N12</f>
        <v/>
      </c>
      <c r="O15" s="89">
        <f>'CALC ENGINE'!O12</f>
        <v/>
      </c>
      <c r="P15" s="89">
        <f>'CALC ENGINE'!P12</f>
        <v/>
      </c>
      <c r="Q15" s="89">
        <f>'CALC ENGINE'!Q12</f>
        <v/>
      </c>
      <c r="R15" s="89">
        <f>'CALC ENGINE'!R12</f>
        <v/>
      </c>
      <c r="S15" s="88">
        <f>'CALC ENGINE'!S12</f>
        <v/>
      </c>
      <c r="T15" s="89">
        <f>'CALC ENGINE'!T12</f>
        <v/>
      </c>
    </row>
    <row r="16" ht="18" customHeight="1">
      <c r="B16" s="85" t="n">
        <v>11</v>
      </c>
      <c r="C16" s="86">
        <f>'CALC ENGINE'!B13</f>
        <v/>
      </c>
      <c r="D16" s="86">
        <f>'CALC ENGINE'!C13</f>
        <v/>
      </c>
      <c r="E16" s="86">
        <f>'CALC ENGINE'!D13</f>
        <v/>
      </c>
      <c r="F16" s="87">
        <f>'CALC ENGINE'!E13</f>
        <v/>
      </c>
      <c r="G16" s="87">
        <f>'CALC ENGINE'!F13</f>
        <v/>
      </c>
      <c r="H16" s="87">
        <f>'CALC ENGINE'!G13</f>
        <v/>
      </c>
      <c r="I16" s="86">
        <f>'CALC ENGINE'!H13</f>
        <v/>
      </c>
      <c r="J16" s="87">
        <f>'CALC ENGINE'!I13</f>
        <v/>
      </c>
      <c r="K16" s="87">
        <f>'CALC ENGINE'!J13</f>
        <v/>
      </c>
      <c r="L16" s="87">
        <f>'CALC ENGINE'!K13</f>
        <v/>
      </c>
      <c r="M16" s="87">
        <f>'CALC ENGINE'!M13</f>
        <v/>
      </c>
      <c r="N16" s="87">
        <f>'CALC ENGINE'!N13</f>
        <v/>
      </c>
      <c r="O16" s="87">
        <f>'CALC ENGINE'!O13</f>
        <v/>
      </c>
      <c r="P16" s="87">
        <f>'CALC ENGINE'!P13</f>
        <v/>
      </c>
      <c r="Q16" s="87">
        <f>'CALC ENGINE'!Q13</f>
        <v/>
      </c>
      <c r="R16" s="87">
        <f>'CALC ENGINE'!R13</f>
        <v/>
      </c>
      <c r="S16" s="86">
        <f>'CALC ENGINE'!S13</f>
        <v/>
      </c>
      <c r="T16" s="87">
        <f>'CALC ENGINE'!T13</f>
        <v/>
      </c>
    </row>
    <row r="17" ht="18" customHeight="1">
      <c r="B17" s="85" t="n">
        <v>12</v>
      </c>
      <c r="C17" s="88">
        <f>'CALC ENGINE'!B14</f>
        <v/>
      </c>
      <c r="D17" s="88">
        <f>'CALC ENGINE'!C14</f>
        <v/>
      </c>
      <c r="E17" s="88">
        <f>'CALC ENGINE'!D14</f>
        <v/>
      </c>
      <c r="F17" s="89">
        <f>'CALC ENGINE'!E14</f>
        <v/>
      </c>
      <c r="G17" s="89">
        <f>'CALC ENGINE'!F14</f>
        <v/>
      </c>
      <c r="H17" s="89">
        <f>'CALC ENGINE'!G14</f>
        <v/>
      </c>
      <c r="I17" s="88">
        <f>'CALC ENGINE'!H14</f>
        <v/>
      </c>
      <c r="J17" s="89">
        <f>'CALC ENGINE'!I14</f>
        <v/>
      </c>
      <c r="K17" s="89">
        <f>'CALC ENGINE'!J14</f>
        <v/>
      </c>
      <c r="L17" s="89">
        <f>'CALC ENGINE'!K14</f>
        <v/>
      </c>
      <c r="M17" s="89">
        <f>'CALC ENGINE'!M14</f>
        <v/>
      </c>
      <c r="N17" s="89">
        <f>'CALC ENGINE'!N14</f>
        <v/>
      </c>
      <c r="O17" s="89">
        <f>'CALC ENGINE'!O14</f>
        <v/>
      </c>
      <c r="P17" s="89">
        <f>'CALC ENGINE'!P14</f>
        <v/>
      </c>
      <c r="Q17" s="89">
        <f>'CALC ENGINE'!Q14</f>
        <v/>
      </c>
      <c r="R17" s="89">
        <f>'CALC ENGINE'!R14</f>
        <v/>
      </c>
      <c r="S17" s="88">
        <f>'CALC ENGINE'!S14</f>
        <v/>
      </c>
      <c r="T17" s="89">
        <f>'CALC ENGINE'!T14</f>
        <v/>
      </c>
    </row>
    <row r="18" ht="18" customHeight="1">
      <c r="B18" s="85" t="n">
        <v>13</v>
      </c>
      <c r="C18" s="86">
        <f>'CALC ENGINE'!B15</f>
        <v/>
      </c>
      <c r="D18" s="86">
        <f>'CALC ENGINE'!C15</f>
        <v/>
      </c>
      <c r="E18" s="86">
        <f>'CALC ENGINE'!D15</f>
        <v/>
      </c>
      <c r="F18" s="87">
        <f>'CALC ENGINE'!E15</f>
        <v/>
      </c>
      <c r="G18" s="87">
        <f>'CALC ENGINE'!F15</f>
        <v/>
      </c>
      <c r="H18" s="87">
        <f>'CALC ENGINE'!G15</f>
        <v/>
      </c>
      <c r="I18" s="86">
        <f>'CALC ENGINE'!H15</f>
        <v/>
      </c>
      <c r="J18" s="87">
        <f>'CALC ENGINE'!I15</f>
        <v/>
      </c>
      <c r="K18" s="87">
        <f>'CALC ENGINE'!J15</f>
        <v/>
      </c>
      <c r="L18" s="87">
        <f>'CALC ENGINE'!K15</f>
        <v/>
      </c>
      <c r="M18" s="87">
        <f>'CALC ENGINE'!M15</f>
        <v/>
      </c>
      <c r="N18" s="87">
        <f>'CALC ENGINE'!N15</f>
        <v/>
      </c>
      <c r="O18" s="87">
        <f>'CALC ENGINE'!O15</f>
        <v/>
      </c>
      <c r="P18" s="87">
        <f>'CALC ENGINE'!P15</f>
        <v/>
      </c>
      <c r="Q18" s="87">
        <f>'CALC ENGINE'!Q15</f>
        <v/>
      </c>
      <c r="R18" s="87">
        <f>'CALC ENGINE'!R15</f>
        <v/>
      </c>
      <c r="S18" s="86">
        <f>'CALC ENGINE'!S15</f>
        <v/>
      </c>
      <c r="T18" s="87">
        <f>'CALC ENGINE'!T15</f>
        <v/>
      </c>
    </row>
    <row r="19" ht="18" customHeight="1">
      <c r="B19" s="85" t="n">
        <v>14</v>
      </c>
      <c r="C19" s="88">
        <f>'CALC ENGINE'!B16</f>
        <v/>
      </c>
      <c r="D19" s="88">
        <f>'CALC ENGINE'!C16</f>
        <v/>
      </c>
      <c r="E19" s="88">
        <f>'CALC ENGINE'!D16</f>
        <v/>
      </c>
      <c r="F19" s="89">
        <f>'CALC ENGINE'!E16</f>
        <v/>
      </c>
      <c r="G19" s="89">
        <f>'CALC ENGINE'!F16</f>
        <v/>
      </c>
      <c r="H19" s="89">
        <f>'CALC ENGINE'!G16</f>
        <v/>
      </c>
      <c r="I19" s="88">
        <f>'CALC ENGINE'!H16</f>
        <v/>
      </c>
      <c r="J19" s="89">
        <f>'CALC ENGINE'!I16</f>
        <v/>
      </c>
      <c r="K19" s="89">
        <f>'CALC ENGINE'!J16</f>
        <v/>
      </c>
      <c r="L19" s="89">
        <f>'CALC ENGINE'!K16</f>
        <v/>
      </c>
      <c r="M19" s="89">
        <f>'CALC ENGINE'!M16</f>
        <v/>
      </c>
      <c r="N19" s="89">
        <f>'CALC ENGINE'!N16</f>
        <v/>
      </c>
      <c r="O19" s="89">
        <f>'CALC ENGINE'!O16</f>
        <v/>
      </c>
      <c r="P19" s="89">
        <f>'CALC ENGINE'!P16</f>
        <v/>
      </c>
      <c r="Q19" s="89">
        <f>'CALC ENGINE'!Q16</f>
        <v/>
      </c>
      <c r="R19" s="89">
        <f>'CALC ENGINE'!R16</f>
        <v/>
      </c>
      <c r="S19" s="88">
        <f>'CALC ENGINE'!S16</f>
        <v/>
      </c>
      <c r="T19" s="89">
        <f>'CALC ENGINE'!T16</f>
        <v/>
      </c>
    </row>
    <row r="20" ht="18" customHeight="1">
      <c r="B20" s="85" t="n">
        <v>15</v>
      </c>
      <c r="C20" s="86">
        <f>'CALC ENGINE'!B17</f>
        <v/>
      </c>
      <c r="D20" s="86">
        <f>'CALC ENGINE'!C17</f>
        <v/>
      </c>
      <c r="E20" s="86">
        <f>'CALC ENGINE'!D17</f>
        <v/>
      </c>
      <c r="F20" s="87">
        <f>'CALC ENGINE'!E17</f>
        <v/>
      </c>
      <c r="G20" s="87">
        <f>'CALC ENGINE'!F17</f>
        <v/>
      </c>
      <c r="H20" s="87">
        <f>'CALC ENGINE'!G17</f>
        <v/>
      </c>
      <c r="I20" s="86">
        <f>'CALC ENGINE'!H17</f>
        <v/>
      </c>
      <c r="J20" s="87">
        <f>'CALC ENGINE'!I17</f>
        <v/>
      </c>
      <c r="K20" s="87">
        <f>'CALC ENGINE'!J17</f>
        <v/>
      </c>
      <c r="L20" s="87">
        <f>'CALC ENGINE'!K17</f>
        <v/>
      </c>
      <c r="M20" s="87">
        <f>'CALC ENGINE'!M17</f>
        <v/>
      </c>
      <c r="N20" s="87">
        <f>'CALC ENGINE'!N17</f>
        <v/>
      </c>
      <c r="O20" s="87">
        <f>'CALC ENGINE'!O17</f>
        <v/>
      </c>
      <c r="P20" s="87">
        <f>'CALC ENGINE'!P17</f>
        <v/>
      </c>
      <c r="Q20" s="87">
        <f>'CALC ENGINE'!Q17</f>
        <v/>
      </c>
      <c r="R20" s="87">
        <f>'CALC ENGINE'!R17</f>
        <v/>
      </c>
      <c r="S20" s="86">
        <f>'CALC ENGINE'!S17</f>
        <v/>
      </c>
      <c r="T20" s="87">
        <f>'CALC ENGINE'!T17</f>
        <v/>
      </c>
    </row>
    <row r="21" ht="18" customHeight="1">
      <c r="B21" s="85" t="n">
        <v>16</v>
      </c>
      <c r="C21" s="88">
        <f>'CALC ENGINE'!B18</f>
        <v/>
      </c>
      <c r="D21" s="88">
        <f>'CALC ENGINE'!C18</f>
        <v/>
      </c>
      <c r="E21" s="88">
        <f>'CALC ENGINE'!D18</f>
        <v/>
      </c>
      <c r="F21" s="89">
        <f>'CALC ENGINE'!E18</f>
        <v/>
      </c>
      <c r="G21" s="89">
        <f>'CALC ENGINE'!F18</f>
        <v/>
      </c>
      <c r="H21" s="89">
        <f>'CALC ENGINE'!G18</f>
        <v/>
      </c>
      <c r="I21" s="88">
        <f>'CALC ENGINE'!H18</f>
        <v/>
      </c>
      <c r="J21" s="89">
        <f>'CALC ENGINE'!I18</f>
        <v/>
      </c>
      <c r="K21" s="89">
        <f>'CALC ENGINE'!J18</f>
        <v/>
      </c>
      <c r="L21" s="89">
        <f>'CALC ENGINE'!K18</f>
        <v/>
      </c>
      <c r="M21" s="89">
        <f>'CALC ENGINE'!M18</f>
        <v/>
      </c>
      <c r="N21" s="89">
        <f>'CALC ENGINE'!N18</f>
        <v/>
      </c>
      <c r="O21" s="89">
        <f>'CALC ENGINE'!O18</f>
        <v/>
      </c>
      <c r="P21" s="89">
        <f>'CALC ENGINE'!P18</f>
        <v/>
      </c>
      <c r="Q21" s="89">
        <f>'CALC ENGINE'!Q18</f>
        <v/>
      </c>
      <c r="R21" s="89">
        <f>'CALC ENGINE'!R18</f>
        <v/>
      </c>
      <c r="S21" s="88">
        <f>'CALC ENGINE'!S18</f>
        <v/>
      </c>
      <c r="T21" s="89">
        <f>'CALC ENGINE'!T18</f>
        <v/>
      </c>
    </row>
    <row r="22" ht="18" customHeight="1">
      <c r="B22" s="85" t="n">
        <v>17</v>
      </c>
      <c r="C22" s="86">
        <f>'CALC ENGINE'!B19</f>
        <v/>
      </c>
      <c r="D22" s="86">
        <f>'CALC ENGINE'!C19</f>
        <v/>
      </c>
      <c r="E22" s="86">
        <f>'CALC ENGINE'!D19</f>
        <v/>
      </c>
      <c r="F22" s="87">
        <f>'CALC ENGINE'!E19</f>
        <v/>
      </c>
      <c r="G22" s="87">
        <f>'CALC ENGINE'!F19</f>
        <v/>
      </c>
      <c r="H22" s="87">
        <f>'CALC ENGINE'!G19</f>
        <v/>
      </c>
      <c r="I22" s="86">
        <f>'CALC ENGINE'!H19</f>
        <v/>
      </c>
      <c r="J22" s="87">
        <f>'CALC ENGINE'!I19</f>
        <v/>
      </c>
      <c r="K22" s="87">
        <f>'CALC ENGINE'!J19</f>
        <v/>
      </c>
      <c r="L22" s="87">
        <f>'CALC ENGINE'!K19</f>
        <v/>
      </c>
      <c r="M22" s="87">
        <f>'CALC ENGINE'!M19</f>
        <v/>
      </c>
      <c r="N22" s="87">
        <f>'CALC ENGINE'!N19</f>
        <v/>
      </c>
      <c r="O22" s="87">
        <f>'CALC ENGINE'!O19</f>
        <v/>
      </c>
      <c r="P22" s="87">
        <f>'CALC ENGINE'!P19</f>
        <v/>
      </c>
      <c r="Q22" s="87">
        <f>'CALC ENGINE'!Q19</f>
        <v/>
      </c>
      <c r="R22" s="87">
        <f>'CALC ENGINE'!R19</f>
        <v/>
      </c>
      <c r="S22" s="86">
        <f>'CALC ENGINE'!S19</f>
        <v/>
      </c>
      <c r="T22" s="87">
        <f>'CALC ENGINE'!T19</f>
        <v/>
      </c>
    </row>
    <row r="23" ht="18" customHeight="1">
      <c r="B23" s="85" t="n">
        <v>18</v>
      </c>
      <c r="C23" s="88">
        <f>'CALC ENGINE'!B20</f>
        <v/>
      </c>
      <c r="D23" s="88">
        <f>'CALC ENGINE'!C20</f>
        <v/>
      </c>
      <c r="E23" s="88">
        <f>'CALC ENGINE'!D20</f>
        <v/>
      </c>
      <c r="F23" s="89">
        <f>'CALC ENGINE'!E20</f>
        <v/>
      </c>
      <c r="G23" s="89">
        <f>'CALC ENGINE'!F20</f>
        <v/>
      </c>
      <c r="H23" s="89">
        <f>'CALC ENGINE'!G20</f>
        <v/>
      </c>
      <c r="I23" s="88">
        <f>'CALC ENGINE'!H20</f>
        <v/>
      </c>
      <c r="J23" s="89">
        <f>'CALC ENGINE'!I20</f>
        <v/>
      </c>
      <c r="K23" s="89">
        <f>'CALC ENGINE'!J20</f>
        <v/>
      </c>
      <c r="L23" s="89">
        <f>'CALC ENGINE'!K20</f>
        <v/>
      </c>
      <c r="M23" s="89">
        <f>'CALC ENGINE'!M20</f>
        <v/>
      </c>
      <c r="N23" s="89">
        <f>'CALC ENGINE'!N20</f>
        <v/>
      </c>
      <c r="O23" s="89">
        <f>'CALC ENGINE'!O20</f>
        <v/>
      </c>
      <c r="P23" s="89">
        <f>'CALC ENGINE'!P20</f>
        <v/>
      </c>
      <c r="Q23" s="89">
        <f>'CALC ENGINE'!Q20</f>
        <v/>
      </c>
      <c r="R23" s="89">
        <f>'CALC ENGINE'!R20</f>
        <v/>
      </c>
      <c r="S23" s="88">
        <f>'CALC ENGINE'!S20</f>
        <v/>
      </c>
      <c r="T23" s="89">
        <f>'CALC ENGINE'!T20</f>
        <v/>
      </c>
    </row>
    <row r="24" ht="18" customHeight="1">
      <c r="B24" s="85" t="n">
        <v>19</v>
      </c>
      <c r="C24" s="86">
        <f>'CALC ENGINE'!B21</f>
        <v/>
      </c>
      <c r="D24" s="86">
        <f>'CALC ENGINE'!C21</f>
        <v/>
      </c>
      <c r="E24" s="86">
        <f>'CALC ENGINE'!D21</f>
        <v/>
      </c>
      <c r="F24" s="87">
        <f>'CALC ENGINE'!E21</f>
        <v/>
      </c>
      <c r="G24" s="87">
        <f>'CALC ENGINE'!F21</f>
        <v/>
      </c>
      <c r="H24" s="87">
        <f>'CALC ENGINE'!G21</f>
        <v/>
      </c>
      <c r="I24" s="86">
        <f>'CALC ENGINE'!H21</f>
        <v/>
      </c>
      <c r="J24" s="87">
        <f>'CALC ENGINE'!I21</f>
        <v/>
      </c>
      <c r="K24" s="87">
        <f>'CALC ENGINE'!J21</f>
        <v/>
      </c>
      <c r="L24" s="87">
        <f>'CALC ENGINE'!K21</f>
        <v/>
      </c>
      <c r="M24" s="87">
        <f>'CALC ENGINE'!M21</f>
        <v/>
      </c>
      <c r="N24" s="87">
        <f>'CALC ENGINE'!N21</f>
        <v/>
      </c>
      <c r="O24" s="87">
        <f>'CALC ENGINE'!O21</f>
        <v/>
      </c>
      <c r="P24" s="87">
        <f>'CALC ENGINE'!P21</f>
        <v/>
      </c>
      <c r="Q24" s="87">
        <f>'CALC ENGINE'!Q21</f>
        <v/>
      </c>
      <c r="R24" s="87">
        <f>'CALC ENGINE'!R21</f>
        <v/>
      </c>
      <c r="S24" s="86">
        <f>'CALC ENGINE'!S21</f>
        <v/>
      </c>
      <c r="T24" s="87">
        <f>'CALC ENGINE'!T21</f>
        <v/>
      </c>
    </row>
    <row r="25" ht="18" customHeight="1">
      <c r="B25" s="85" t="n">
        <v>20</v>
      </c>
      <c r="C25" s="88">
        <f>'CALC ENGINE'!B22</f>
        <v/>
      </c>
      <c r="D25" s="88">
        <f>'CALC ENGINE'!C22</f>
        <v/>
      </c>
      <c r="E25" s="88">
        <f>'CALC ENGINE'!D22</f>
        <v/>
      </c>
      <c r="F25" s="89">
        <f>'CALC ENGINE'!E22</f>
        <v/>
      </c>
      <c r="G25" s="89">
        <f>'CALC ENGINE'!F22</f>
        <v/>
      </c>
      <c r="H25" s="89">
        <f>'CALC ENGINE'!G22</f>
        <v/>
      </c>
      <c r="I25" s="88">
        <f>'CALC ENGINE'!H22</f>
        <v/>
      </c>
      <c r="J25" s="89">
        <f>'CALC ENGINE'!I22</f>
        <v/>
      </c>
      <c r="K25" s="89">
        <f>'CALC ENGINE'!J22</f>
        <v/>
      </c>
      <c r="L25" s="89">
        <f>'CALC ENGINE'!K22</f>
        <v/>
      </c>
      <c r="M25" s="89">
        <f>'CALC ENGINE'!M22</f>
        <v/>
      </c>
      <c r="N25" s="89">
        <f>'CALC ENGINE'!N22</f>
        <v/>
      </c>
      <c r="O25" s="89">
        <f>'CALC ENGINE'!O22</f>
        <v/>
      </c>
      <c r="P25" s="89">
        <f>'CALC ENGINE'!P22</f>
        <v/>
      </c>
      <c r="Q25" s="89">
        <f>'CALC ENGINE'!Q22</f>
        <v/>
      </c>
      <c r="R25" s="89">
        <f>'CALC ENGINE'!R22</f>
        <v/>
      </c>
      <c r="S25" s="88">
        <f>'CALC ENGINE'!S22</f>
        <v/>
      </c>
      <c r="T25" s="89">
        <f>'CALC ENGINE'!T22</f>
        <v/>
      </c>
    </row>
    <row r="26" ht="18" customHeight="1">
      <c r="B26" s="85" t="n">
        <v>21</v>
      </c>
      <c r="C26" s="86">
        <f>'CALC ENGINE'!B23</f>
        <v/>
      </c>
      <c r="D26" s="86">
        <f>'CALC ENGINE'!C23</f>
        <v/>
      </c>
      <c r="E26" s="86">
        <f>'CALC ENGINE'!D23</f>
        <v/>
      </c>
      <c r="F26" s="87">
        <f>'CALC ENGINE'!E23</f>
        <v/>
      </c>
      <c r="G26" s="87">
        <f>'CALC ENGINE'!F23</f>
        <v/>
      </c>
      <c r="H26" s="87">
        <f>'CALC ENGINE'!G23</f>
        <v/>
      </c>
      <c r="I26" s="86">
        <f>'CALC ENGINE'!H23</f>
        <v/>
      </c>
      <c r="J26" s="87">
        <f>'CALC ENGINE'!I23</f>
        <v/>
      </c>
      <c r="K26" s="87">
        <f>'CALC ENGINE'!J23</f>
        <v/>
      </c>
      <c r="L26" s="87">
        <f>'CALC ENGINE'!K23</f>
        <v/>
      </c>
      <c r="M26" s="87">
        <f>'CALC ENGINE'!M23</f>
        <v/>
      </c>
      <c r="N26" s="87">
        <f>'CALC ENGINE'!N23</f>
        <v/>
      </c>
      <c r="O26" s="87">
        <f>'CALC ENGINE'!O23</f>
        <v/>
      </c>
      <c r="P26" s="87">
        <f>'CALC ENGINE'!P23</f>
        <v/>
      </c>
      <c r="Q26" s="87">
        <f>'CALC ENGINE'!Q23</f>
        <v/>
      </c>
      <c r="R26" s="87">
        <f>'CALC ENGINE'!R23</f>
        <v/>
      </c>
      <c r="S26" s="86">
        <f>'CALC ENGINE'!S23</f>
        <v/>
      </c>
      <c r="T26" s="87">
        <f>'CALC ENGINE'!T23</f>
        <v/>
      </c>
    </row>
    <row r="27" ht="18" customHeight="1">
      <c r="B27" s="85" t="n">
        <v>22</v>
      </c>
      <c r="C27" s="88">
        <f>'CALC ENGINE'!B24</f>
        <v/>
      </c>
      <c r="D27" s="88">
        <f>'CALC ENGINE'!C24</f>
        <v/>
      </c>
      <c r="E27" s="88">
        <f>'CALC ENGINE'!D24</f>
        <v/>
      </c>
      <c r="F27" s="89">
        <f>'CALC ENGINE'!E24</f>
        <v/>
      </c>
      <c r="G27" s="89">
        <f>'CALC ENGINE'!F24</f>
        <v/>
      </c>
      <c r="H27" s="89">
        <f>'CALC ENGINE'!G24</f>
        <v/>
      </c>
      <c r="I27" s="88">
        <f>'CALC ENGINE'!H24</f>
        <v/>
      </c>
      <c r="J27" s="89">
        <f>'CALC ENGINE'!I24</f>
        <v/>
      </c>
      <c r="K27" s="89">
        <f>'CALC ENGINE'!J24</f>
        <v/>
      </c>
      <c r="L27" s="89">
        <f>'CALC ENGINE'!K24</f>
        <v/>
      </c>
      <c r="M27" s="89">
        <f>'CALC ENGINE'!M24</f>
        <v/>
      </c>
      <c r="N27" s="89">
        <f>'CALC ENGINE'!N24</f>
        <v/>
      </c>
      <c r="O27" s="89">
        <f>'CALC ENGINE'!O24</f>
        <v/>
      </c>
      <c r="P27" s="89">
        <f>'CALC ENGINE'!P24</f>
        <v/>
      </c>
      <c r="Q27" s="89">
        <f>'CALC ENGINE'!Q24</f>
        <v/>
      </c>
      <c r="R27" s="89">
        <f>'CALC ENGINE'!R24</f>
        <v/>
      </c>
      <c r="S27" s="88">
        <f>'CALC ENGINE'!S24</f>
        <v/>
      </c>
      <c r="T27" s="89">
        <f>'CALC ENGINE'!T24</f>
        <v/>
      </c>
    </row>
    <row r="28" ht="18" customHeight="1">
      <c r="B28" s="85" t="n">
        <v>23</v>
      </c>
      <c r="C28" s="86">
        <f>'CALC ENGINE'!B25</f>
        <v/>
      </c>
      <c r="D28" s="86">
        <f>'CALC ENGINE'!C25</f>
        <v/>
      </c>
      <c r="E28" s="86">
        <f>'CALC ENGINE'!D25</f>
        <v/>
      </c>
      <c r="F28" s="87">
        <f>'CALC ENGINE'!E25</f>
        <v/>
      </c>
      <c r="G28" s="87">
        <f>'CALC ENGINE'!F25</f>
        <v/>
      </c>
      <c r="H28" s="87">
        <f>'CALC ENGINE'!G25</f>
        <v/>
      </c>
      <c r="I28" s="86">
        <f>'CALC ENGINE'!H25</f>
        <v/>
      </c>
      <c r="J28" s="87">
        <f>'CALC ENGINE'!I25</f>
        <v/>
      </c>
      <c r="K28" s="87">
        <f>'CALC ENGINE'!J25</f>
        <v/>
      </c>
      <c r="L28" s="87">
        <f>'CALC ENGINE'!K25</f>
        <v/>
      </c>
      <c r="M28" s="87">
        <f>'CALC ENGINE'!M25</f>
        <v/>
      </c>
      <c r="N28" s="87">
        <f>'CALC ENGINE'!N25</f>
        <v/>
      </c>
      <c r="O28" s="87">
        <f>'CALC ENGINE'!O25</f>
        <v/>
      </c>
      <c r="P28" s="87">
        <f>'CALC ENGINE'!P25</f>
        <v/>
      </c>
      <c r="Q28" s="87">
        <f>'CALC ENGINE'!Q25</f>
        <v/>
      </c>
      <c r="R28" s="87">
        <f>'CALC ENGINE'!R25</f>
        <v/>
      </c>
      <c r="S28" s="86">
        <f>'CALC ENGINE'!S25</f>
        <v/>
      </c>
      <c r="T28" s="87">
        <f>'CALC ENGINE'!T25</f>
        <v/>
      </c>
    </row>
    <row r="29" ht="18" customHeight="1">
      <c r="B29" s="85" t="n">
        <v>24</v>
      </c>
      <c r="C29" s="88">
        <f>'CALC ENGINE'!B26</f>
        <v/>
      </c>
      <c r="D29" s="88">
        <f>'CALC ENGINE'!C26</f>
        <v/>
      </c>
      <c r="E29" s="88">
        <f>'CALC ENGINE'!D26</f>
        <v/>
      </c>
      <c r="F29" s="89">
        <f>'CALC ENGINE'!E26</f>
        <v/>
      </c>
      <c r="G29" s="89">
        <f>'CALC ENGINE'!F26</f>
        <v/>
      </c>
      <c r="H29" s="89">
        <f>'CALC ENGINE'!G26</f>
        <v/>
      </c>
      <c r="I29" s="88">
        <f>'CALC ENGINE'!H26</f>
        <v/>
      </c>
      <c r="J29" s="89">
        <f>'CALC ENGINE'!I26</f>
        <v/>
      </c>
      <c r="K29" s="89">
        <f>'CALC ENGINE'!J26</f>
        <v/>
      </c>
      <c r="L29" s="89">
        <f>'CALC ENGINE'!K26</f>
        <v/>
      </c>
      <c r="M29" s="89">
        <f>'CALC ENGINE'!M26</f>
        <v/>
      </c>
      <c r="N29" s="89">
        <f>'CALC ENGINE'!N26</f>
        <v/>
      </c>
      <c r="O29" s="89">
        <f>'CALC ENGINE'!O26</f>
        <v/>
      </c>
      <c r="P29" s="89">
        <f>'CALC ENGINE'!P26</f>
        <v/>
      </c>
      <c r="Q29" s="89">
        <f>'CALC ENGINE'!Q26</f>
        <v/>
      </c>
      <c r="R29" s="89">
        <f>'CALC ENGINE'!R26</f>
        <v/>
      </c>
      <c r="S29" s="88">
        <f>'CALC ENGINE'!S26</f>
        <v/>
      </c>
      <c r="T29" s="89">
        <f>'CALC ENGINE'!T26</f>
        <v/>
      </c>
    </row>
    <row r="30" ht="18" customHeight="1">
      <c r="B30" s="85" t="n">
        <v>25</v>
      </c>
      <c r="C30" s="86">
        <f>'CALC ENGINE'!B27</f>
        <v/>
      </c>
      <c r="D30" s="86">
        <f>'CALC ENGINE'!C27</f>
        <v/>
      </c>
      <c r="E30" s="86">
        <f>'CALC ENGINE'!D27</f>
        <v/>
      </c>
      <c r="F30" s="87">
        <f>'CALC ENGINE'!E27</f>
        <v/>
      </c>
      <c r="G30" s="87">
        <f>'CALC ENGINE'!F27</f>
        <v/>
      </c>
      <c r="H30" s="87">
        <f>'CALC ENGINE'!G27</f>
        <v/>
      </c>
      <c r="I30" s="86">
        <f>'CALC ENGINE'!H27</f>
        <v/>
      </c>
      <c r="J30" s="87">
        <f>'CALC ENGINE'!I27</f>
        <v/>
      </c>
      <c r="K30" s="87">
        <f>'CALC ENGINE'!J27</f>
        <v/>
      </c>
      <c r="L30" s="87">
        <f>'CALC ENGINE'!K27</f>
        <v/>
      </c>
      <c r="M30" s="87">
        <f>'CALC ENGINE'!M27</f>
        <v/>
      </c>
      <c r="N30" s="87">
        <f>'CALC ENGINE'!N27</f>
        <v/>
      </c>
      <c r="O30" s="87">
        <f>'CALC ENGINE'!O27</f>
        <v/>
      </c>
      <c r="P30" s="87">
        <f>'CALC ENGINE'!P27</f>
        <v/>
      </c>
      <c r="Q30" s="87">
        <f>'CALC ENGINE'!Q27</f>
        <v/>
      </c>
      <c r="R30" s="87">
        <f>'CALC ENGINE'!R27</f>
        <v/>
      </c>
      <c r="S30" s="86">
        <f>'CALC ENGINE'!S27</f>
        <v/>
      </c>
      <c r="T30" s="87">
        <f>'CALC ENGINE'!T27</f>
        <v/>
      </c>
    </row>
    <row r="31" ht="18" customHeight="1">
      <c r="B31" s="85" t="n">
        <v>26</v>
      </c>
      <c r="C31" s="88">
        <f>'CALC ENGINE'!B28</f>
        <v/>
      </c>
      <c r="D31" s="88">
        <f>'CALC ENGINE'!C28</f>
        <v/>
      </c>
      <c r="E31" s="88">
        <f>'CALC ENGINE'!D28</f>
        <v/>
      </c>
      <c r="F31" s="89">
        <f>'CALC ENGINE'!E28</f>
        <v/>
      </c>
      <c r="G31" s="89">
        <f>'CALC ENGINE'!F28</f>
        <v/>
      </c>
      <c r="H31" s="89">
        <f>'CALC ENGINE'!G28</f>
        <v/>
      </c>
      <c r="I31" s="88">
        <f>'CALC ENGINE'!H28</f>
        <v/>
      </c>
      <c r="J31" s="89">
        <f>'CALC ENGINE'!I28</f>
        <v/>
      </c>
      <c r="K31" s="89">
        <f>'CALC ENGINE'!J28</f>
        <v/>
      </c>
      <c r="L31" s="89">
        <f>'CALC ENGINE'!K28</f>
        <v/>
      </c>
      <c r="M31" s="89">
        <f>'CALC ENGINE'!M28</f>
        <v/>
      </c>
      <c r="N31" s="89">
        <f>'CALC ENGINE'!N28</f>
        <v/>
      </c>
      <c r="O31" s="89">
        <f>'CALC ENGINE'!O28</f>
        <v/>
      </c>
      <c r="P31" s="89">
        <f>'CALC ENGINE'!P28</f>
        <v/>
      </c>
      <c r="Q31" s="89">
        <f>'CALC ENGINE'!Q28</f>
        <v/>
      </c>
      <c r="R31" s="89">
        <f>'CALC ENGINE'!R28</f>
        <v/>
      </c>
      <c r="S31" s="88">
        <f>'CALC ENGINE'!S28</f>
        <v/>
      </c>
      <c r="T31" s="89">
        <f>'CALC ENGINE'!T28</f>
        <v/>
      </c>
    </row>
    <row r="32" ht="18" customHeight="1">
      <c r="B32" s="85" t="n">
        <v>27</v>
      </c>
      <c r="C32" s="86">
        <f>'CALC ENGINE'!B29</f>
        <v/>
      </c>
      <c r="D32" s="86">
        <f>'CALC ENGINE'!C29</f>
        <v/>
      </c>
      <c r="E32" s="86">
        <f>'CALC ENGINE'!D29</f>
        <v/>
      </c>
      <c r="F32" s="87">
        <f>'CALC ENGINE'!E29</f>
        <v/>
      </c>
      <c r="G32" s="87">
        <f>'CALC ENGINE'!F29</f>
        <v/>
      </c>
      <c r="H32" s="87">
        <f>'CALC ENGINE'!G29</f>
        <v/>
      </c>
      <c r="I32" s="86">
        <f>'CALC ENGINE'!H29</f>
        <v/>
      </c>
      <c r="J32" s="87">
        <f>'CALC ENGINE'!I29</f>
        <v/>
      </c>
      <c r="K32" s="87">
        <f>'CALC ENGINE'!J29</f>
        <v/>
      </c>
      <c r="L32" s="87">
        <f>'CALC ENGINE'!K29</f>
        <v/>
      </c>
      <c r="M32" s="87">
        <f>'CALC ENGINE'!M29</f>
        <v/>
      </c>
      <c r="N32" s="87">
        <f>'CALC ENGINE'!N29</f>
        <v/>
      </c>
      <c r="O32" s="87">
        <f>'CALC ENGINE'!O29</f>
        <v/>
      </c>
      <c r="P32" s="87">
        <f>'CALC ENGINE'!P29</f>
        <v/>
      </c>
      <c r="Q32" s="87">
        <f>'CALC ENGINE'!Q29</f>
        <v/>
      </c>
      <c r="R32" s="87">
        <f>'CALC ENGINE'!R29</f>
        <v/>
      </c>
      <c r="S32" s="86">
        <f>'CALC ENGINE'!S29</f>
        <v/>
      </c>
      <c r="T32" s="87">
        <f>'CALC ENGINE'!T29</f>
        <v/>
      </c>
    </row>
    <row r="33" ht="18" customHeight="1">
      <c r="B33" s="85" t="n">
        <v>28</v>
      </c>
      <c r="C33" s="88">
        <f>'CALC ENGINE'!B30</f>
        <v/>
      </c>
      <c r="D33" s="88">
        <f>'CALC ENGINE'!C30</f>
        <v/>
      </c>
      <c r="E33" s="88">
        <f>'CALC ENGINE'!D30</f>
        <v/>
      </c>
      <c r="F33" s="89">
        <f>'CALC ENGINE'!E30</f>
        <v/>
      </c>
      <c r="G33" s="89">
        <f>'CALC ENGINE'!F30</f>
        <v/>
      </c>
      <c r="H33" s="89">
        <f>'CALC ENGINE'!G30</f>
        <v/>
      </c>
      <c r="I33" s="88">
        <f>'CALC ENGINE'!H30</f>
        <v/>
      </c>
      <c r="J33" s="89">
        <f>'CALC ENGINE'!I30</f>
        <v/>
      </c>
      <c r="K33" s="89">
        <f>'CALC ENGINE'!J30</f>
        <v/>
      </c>
      <c r="L33" s="89">
        <f>'CALC ENGINE'!K30</f>
        <v/>
      </c>
      <c r="M33" s="89">
        <f>'CALC ENGINE'!M30</f>
        <v/>
      </c>
      <c r="N33" s="89">
        <f>'CALC ENGINE'!N30</f>
        <v/>
      </c>
      <c r="O33" s="89">
        <f>'CALC ENGINE'!O30</f>
        <v/>
      </c>
      <c r="P33" s="89">
        <f>'CALC ENGINE'!P30</f>
        <v/>
      </c>
      <c r="Q33" s="89">
        <f>'CALC ENGINE'!Q30</f>
        <v/>
      </c>
      <c r="R33" s="89">
        <f>'CALC ENGINE'!R30</f>
        <v/>
      </c>
      <c r="S33" s="88">
        <f>'CALC ENGINE'!S30</f>
        <v/>
      </c>
      <c r="T33" s="89">
        <f>'CALC ENGINE'!T30</f>
        <v/>
      </c>
    </row>
    <row r="34" ht="18" customHeight="1">
      <c r="B34" s="85" t="n">
        <v>29</v>
      </c>
      <c r="C34" s="86">
        <f>'CALC ENGINE'!B31</f>
        <v/>
      </c>
      <c r="D34" s="86">
        <f>'CALC ENGINE'!C31</f>
        <v/>
      </c>
      <c r="E34" s="86">
        <f>'CALC ENGINE'!D31</f>
        <v/>
      </c>
      <c r="F34" s="87">
        <f>'CALC ENGINE'!E31</f>
        <v/>
      </c>
      <c r="G34" s="87">
        <f>'CALC ENGINE'!F31</f>
        <v/>
      </c>
      <c r="H34" s="87">
        <f>'CALC ENGINE'!G31</f>
        <v/>
      </c>
      <c r="I34" s="86">
        <f>'CALC ENGINE'!H31</f>
        <v/>
      </c>
      <c r="J34" s="87">
        <f>'CALC ENGINE'!I31</f>
        <v/>
      </c>
      <c r="K34" s="87">
        <f>'CALC ENGINE'!J31</f>
        <v/>
      </c>
      <c r="L34" s="87">
        <f>'CALC ENGINE'!K31</f>
        <v/>
      </c>
      <c r="M34" s="87">
        <f>'CALC ENGINE'!M31</f>
        <v/>
      </c>
      <c r="N34" s="87">
        <f>'CALC ENGINE'!N31</f>
        <v/>
      </c>
      <c r="O34" s="87">
        <f>'CALC ENGINE'!O31</f>
        <v/>
      </c>
      <c r="P34" s="87">
        <f>'CALC ENGINE'!P31</f>
        <v/>
      </c>
      <c r="Q34" s="87">
        <f>'CALC ENGINE'!Q31</f>
        <v/>
      </c>
      <c r="R34" s="87">
        <f>'CALC ENGINE'!R31</f>
        <v/>
      </c>
      <c r="S34" s="86">
        <f>'CALC ENGINE'!S31</f>
        <v/>
      </c>
      <c r="T34" s="87">
        <f>'CALC ENGINE'!T31</f>
        <v/>
      </c>
    </row>
    <row r="35" ht="18" customHeight="1">
      <c r="B35" s="85" t="n">
        <v>30</v>
      </c>
      <c r="C35" s="88">
        <f>'CALC ENGINE'!B32</f>
        <v/>
      </c>
      <c r="D35" s="88">
        <f>'CALC ENGINE'!C32</f>
        <v/>
      </c>
      <c r="E35" s="88">
        <f>'CALC ENGINE'!D32</f>
        <v/>
      </c>
      <c r="F35" s="89">
        <f>'CALC ENGINE'!E32</f>
        <v/>
      </c>
      <c r="G35" s="89">
        <f>'CALC ENGINE'!F32</f>
        <v/>
      </c>
      <c r="H35" s="89">
        <f>'CALC ENGINE'!G32</f>
        <v/>
      </c>
      <c r="I35" s="88">
        <f>'CALC ENGINE'!H32</f>
        <v/>
      </c>
      <c r="J35" s="89">
        <f>'CALC ENGINE'!I32</f>
        <v/>
      </c>
      <c r="K35" s="89">
        <f>'CALC ENGINE'!J32</f>
        <v/>
      </c>
      <c r="L35" s="89">
        <f>'CALC ENGINE'!K32</f>
        <v/>
      </c>
      <c r="M35" s="89">
        <f>'CALC ENGINE'!M32</f>
        <v/>
      </c>
      <c r="N35" s="89">
        <f>'CALC ENGINE'!N32</f>
        <v/>
      </c>
      <c r="O35" s="89">
        <f>'CALC ENGINE'!O32</f>
        <v/>
      </c>
      <c r="P35" s="89">
        <f>'CALC ENGINE'!P32</f>
        <v/>
      </c>
      <c r="Q35" s="89">
        <f>'CALC ENGINE'!Q32</f>
        <v/>
      </c>
      <c r="R35" s="89">
        <f>'CALC ENGINE'!R32</f>
        <v/>
      </c>
      <c r="S35" s="88">
        <f>'CALC ENGINE'!S32</f>
        <v/>
      </c>
      <c r="T35" s="89">
        <f>'CALC ENGINE'!T32</f>
        <v/>
      </c>
    </row>
    <row r="36" ht="18" customHeight="1">
      <c r="B36" s="85" t="n">
        <v>31</v>
      </c>
      <c r="C36" s="86">
        <f>'CALC ENGINE'!B33</f>
        <v/>
      </c>
      <c r="D36" s="86">
        <f>'CALC ENGINE'!C33</f>
        <v/>
      </c>
      <c r="E36" s="86">
        <f>'CALC ENGINE'!D33</f>
        <v/>
      </c>
      <c r="F36" s="87">
        <f>'CALC ENGINE'!E33</f>
        <v/>
      </c>
      <c r="G36" s="87">
        <f>'CALC ENGINE'!F33</f>
        <v/>
      </c>
      <c r="H36" s="87">
        <f>'CALC ENGINE'!G33</f>
        <v/>
      </c>
      <c r="I36" s="86">
        <f>'CALC ENGINE'!H33</f>
        <v/>
      </c>
      <c r="J36" s="87">
        <f>'CALC ENGINE'!I33</f>
        <v/>
      </c>
      <c r="K36" s="87">
        <f>'CALC ENGINE'!J33</f>
        <v/>
      </c>
      <c r="L36" s="87">
        <f>'CALC ENGINE'!K33</f>
        <v/>
      </c>
      <c r="M36" s="87">
        <f>'CALC ENGINE'!M33</f>
        <v/>
      </c>
      <c r="N36" s="87">
        <f>'CALC ENGINE'!N33</f>
        <v/>
      </c>
      <c r="O36" s="87">
        <f>'CALC ENGINE'!O33</f>
        <v/>
      </c>
      <c r="P36" s="87">
        <f>'CALC ENGINE'!P33</f>
        <v/>
      </c>
      <c r="Q36" s="87">
        <f>'CALC ENGINE'!Q33</f>
        <v/>
      </c>
      <c r="R36" s="87">
        <f>'CALC ENGINE'!R33</f>
        <v/>
      </c>
      <c r="S36" s="86">
        <f>'CALC ENGINE'!S33</f>
        <v/>
      </c>
      <c r="T36" s="87">
        <f>'CALC ENGINE'!T33</f>
        <v/>
      </c>
    </row>
    <row r="37" ht="18" customHeight="1">
      <c r="B37" s="85" t="n">
        <v>32</v>
      </c>
      <c r="C37" s="88">
        <f>'CALC ENGINE'!B34</f>
        <v/>
      </c>
      <c r="D37" s="88">
        <f>'CALC ENGINE'!C34</f>
        <v/>
      </c>
      <c r="E37" s="88">
        <f>'CALC ENGINE'!D34</f>
        <v/>
      </c>
      <c r="F37" s="89">
        <f>'CALC ENGINE'!E34</f>
        <v/>
      </c>
      <c r="G37" s="89">
        <f>'CALC ENGINE'!F34</f>
        <v/>
      </c>
      <c r="H37" s="89">
        <f>'CALC ENGINE'!G34</f>
        <v/>
      </c>
      <c r="I37" s="88">
        <f>'CALC ENGINE'!H34</f>
        <v/>
      </c>
      <c r="J37" s="89">
        <f>'CALC ENGINE'!I34</f>
        <v/>
      </c>
      <c r="K37" s="89">
        <f>'CALC ENGINE'!J34</f>
        <v/>
      </c>
      <c r="L37" s="89">
        <f>'CALC ENGINE'!K34</f>
        <v/>
      </c>
      <c r="M37" s="89">
        <f>'CALC ENGINE'!M34</f>
        <v/>
      </c>
      <c r="N37" s="89">
        <f>'CALC ENGINE'!N34</f>
        <v/>
      </c>
      <c r="O37" s="89">
        <f>'CALC ENGINE'!O34</f>
        <v/>
      </c>
      <c r="P37" s="89">
        <f>'CALC ENGINE'!P34</f>
        <v/>
      </c>
      <c r="Q37" s="89">
        <f>'CALC ENGINE'!Q34</f>
        <v/>
      </c>
      <c r="R37" s="89">
        <f>'CALC ENGINE'!R34</f>
        <v/>
      </c>
      <c r="S37" s="88">
        <f>'CALC ENGINE'!S34</f>
        <v/>
      </c>
      <c r="T37" s="89">
        <f>'CALC ENGINE'!T34</f>
        <v/>
      </c>
    </row>
    <row r="38" ht="18" customHeight="1">
      <c r="B38" s="85" t="n">
        <v>33</v>
      </c>
      <c r="C38" s="86">
        <f>'CALC ENGINE'!B35</f>
        <v/>
      </c>
      <c r="D38" s="86">
        <f>'CALC ENGINE'!C35</f>
        <v/>
      </c>
      <c r="E38" s="86">
        <f>'CALC ENGINE'!D35</f>
        <v/>
      </c>
      <c r="F38" s="87">
        <f>'CALC ENGINE'!E35</f>
        <v/>
      </c>
      <c r="G38" s="87">
        <f>'CALC ENGINE'!F35</f>
        <v/>
      </c>
      <c r="H38" s="87">
        <f>'CALC ENGINE'!G35</f>
        <v/>
      </c>
      <c r="I38" s="86">
        <f>'CALC ENGINE'!H35</f>
        <v/>
      </c>
      <c r="J38" s="87">
        <f>'CALC ENGINE'!I35</f>
        <v/>
      </c>
      <c r="K38" s="87">
        <f>'CALC ENGINE'!J35</f>
        <v/>
      </c>
      <c r="L38" s="87">
        <f>'CALC ENGINE'!K35</f>
        <v/>
      </c>
      <c r="M38" s="87">
        <f>'CALC ENGINE'!M35</f>
        <v/>
      </c>
      <c r="N38" s="87">
        <f>'CALC ENGINE'!N35</f>
        <v/>
      </c>
      <c r="O38" s="87">
        <f>'CALC ENGINE'!O35</f>
        <v/>
      </c>
      <c r="P38" s="87">
        <f>'CALC ENGINE'!P35</f>
        <v/>
      </c>
      <c r="Q38" s="87">
        <f>'CALC ENGINE'!Q35</f>
        <v/>
      </c>
      <c r="R38" s="87">
        <f>'CALC ENGINE'!R35</f>
        <v/>
      </c>
      <c r="S38" s="86">
        <f>'CALC ENGINE'!S35</f>
        <v/>
      </c>
      <c r="T38" s="87">
        <f>'CALC ENGINE'!T35</f>
        <v/>
      </c>
    </row>
    <row r="39" ht="18" customHeight="1">
      <c r="B39" s="85" t="n">
        <v>34</v>
      </c>
      <c r="C39" s="88">
        <f>'CALC ENGINE'!B36</f>
        <v/>
      </c>
      <c r="D39" s="88">
        <f>'CALC ENGINE'!C36</f>
        <v/>
      </c>
      <c r="E39" s="88">
        <f>'CALC ENGINE'!D36</f>
        <v/>
      </c>
      <c r="F39" s="89">
        <f>'CALC ENGINE'!E36</f>
        <v/>
      </c>
      <c r="G39" s="89">
        <f>'CALC ENGINE'!F36</f>
        <v/>
      </c>
      <c r="H39" s="89">
        <f>'CALC ENGINE'!G36</f>
        <v/>
      </c>
      <c r="I39" s="88">
        <f>'CALC ENGINE'!H36</f>
        <v/>
      </c>
      <c r="J39" s="89">
        <f>'CALC ENGINE'!I36</f>
        <v/>
      </c>
      <c r="K39" s="89">
        <f>'CALC ENGINE'!J36</f>
        <v/>
      </c>
      <c r="L39" s="89">
        <f>'CALC ENGINE'!K36</f>
        <v/>
      </c>
      <c r="M39" s="89">
        <f>'CALC ENGINE'!M36</f>
        <v/>
      </c>
      <c r="N39" s="89">
        <f>'CALC ENGINE'!N36</f>
        <v/>
      </c>
      <c r="O39" s="89">
        <f>'CALC ENGINE'!O36</f>
        <v/>
      </c>
      <c r="P39" s="89">
        <f>'CALC ENGINE'!P36</f>
        <v/>
      </c>
      <c r="Q39" s="89">
        <f>'CALC ENGINE'!Q36</f>
        <v/>
      </c>
      <c r="R39" s="89">
        <f>'CALC ENGINE'!R36</f>
        <v/>
      </c>
      <c r="S39" s="88">
        <f>'CALC ENGINE'!S36</f>
        <v/>
      </c>
      <c r="T39" s="89">
        <f>'CALC ENGINE'!T36</f>
        <v/>
      </c>
    </row>
    <row r="40" ht="18" customHeight="1">
      <c r="B40" s="85" t="n">
        <v>35</v>
      </c>
      <c r="C40" s="86">
        <f>'CALC ENGINE'!B37</f>
        <v/>
      </c>
      <c r="D40" s="86">
        <f>'CALC ENGINE'!C37</f>
        <v/>
      </c>
      <c r="E40" s="86">
        <f>'CALC ENGINE'!D37</f>
        <v/>
      </c>
      <c r="F40" s="87">
        <f>'CALC ENGINE'!E37</f>
        <v/>
      </c>
      <c r="G40" s="87">
        <f>'CALC ENGINE'!F37</f>
        <v/>
      </c>
      <c r="H40" s="87">
        <f>'CALC ENGINE'!G37</f>
        <v/>
      </c>
      <c r="I40" s="86">
        <f>'CALC ENGINE'!H37</f>
        <v/>
      </c>
      <c r="J40" s="87">
        <f>'CALC ENGINE'!I37</f>
        <v/>
      </c>
      <c r="K40" s="87">
        <f>'CALC ENGINE'!J37</f>
        <v/>
      </c>
      <c r="L40" s="87">
        <f>'CALC ENGINE'!K37</f>
        <v/>
      </c>
      <c r="M40" s="87">
        <f>'CALC ENGINE'!M37</f>
        <v/>
      </c>
      <c r="N40" s="87">
        <f>'CALC ENGINE'!N37</f>
        <v/>
      </c>
      <c r="O40" s="87">
        <f>'CALC ENGINE'!O37</f>
        <v/>
      </c>
      <c r="P40" s="87">
        <f>'CALC ENGINE'!P37</f>
        <v/>
      </c>
      <c r="Q40" s="87">
        <f>'CALC ENGINE'!Q37</f>
        <v/>
      </c>
      <c r="R40" s="87">
        <f>'CALC ENGINE'!R37</f>
        <v/>
      </c>
      <c r="S40" s="86">
        <f>'CALC ENGINE'!S37</f>
        <v/>
      </c>
      <c r="T40" s="87">
        <f>'CALC ENGINE'!T37</f>
        <v/>
      </c>
    </row>
    <row r="41" ht="18" customHeight="1">
      <c r="B41" s="85" t="n">
        <v>36</v>
      </c>
      <c r="C41" s="88">
        <f>'CALC ENGINE'!B38</f>
        <v/>
      </c>
      <c r="D41" s="88">
        <f>'CALC ENGINE'!C38</f>
        <v/>
      </c>
      <c r="E41" s="88">
        <f>'CALC ENGINE'!D38</f>
        <v/>
      </c>
      <c r="F41" s="89">
        <f>'CALC ENGINE'!E38</f>
        <v/>
      </c>
      <c r="G41" s="89">
        <f>'CALC ENGINE'!F38</f>
        <v/>
      </c>
      <c r="H41" s="89">
        <f>'CALC ENGINE'!G38</f>
        <v/>
      </c>
      <c r="I41" s="88">
        <f>'CALC ENGINE'!H38</f>
        <v/>
      </c>
      <c r="J41" s="89">
        <f>'CALC ENGINE'!I38</f>
        <v/>
      </c>
      <c r="K41" s="89">
        <f>'CALC ENGINE'!J38</f>
        <v/>
      </c>
      <c r="L41" s="89">
        <f>'CALC ENGINE'!K38</f>
        <v/>
      </c>
      <c r="M41" s="89">
        <f>'CALC ENGINE'!M38</f>
        <v/>
      </c>
      <c r="N41" s="89">
        <f>'CALC ENGINE'!N38</f>
        <v/>
      </c>
      <c r="O41" s="89">
        <f>'CALC ENGINE'!O38</f>
        <v/>
      </c>
      <c r="P41" s="89">
        <f>'CALC ENGINE'!P38</f>
        <v/>
      </c>
      <c r="Q41" s="89">
        <f>'CALC ENGINE'!Q38</f>
        <v/>
      </c>
      <c r="R41" s="89">
        <f>'CALC ENGINE'!R38</f>
        <v/>
      </c>
      <c r="S41" s="88">
        <f>'CALC ENGINE'!S38</f>
        <v/>
      </c>
      <c r="T41" s="89">
        <f>'CALC ENGINE'!T38</f>
        <v/>
      </c>
    </row>
    <row r="42" ht="18" customHeight="1">
      <c r="B42" s="85" t="n">
        <v>37</v>
      </c>
      <c r="C42" s="86">
        <f>'CALC ENGINE'!B39</f>
        <v/>
      </c>
      <c r="D42" s="86">
        <f>'CALC ENGINE'!C39</f>
        <v/>
      </c>
      <c r="E42" s="86">
        <f>'CALC ENGINE'!D39</f>
        <v/>
      </c>
      <c r="F42" s="87">
        <f>'CALC ENGINE'!E39</f>
        <v/>
      </c>
      <c r="G42" s="87">
        <f>'CALC ENGINE'!F39</f>
        <v/>
      </c>
      <c r="H42" s="87">
        <f>'CALC ENGINE'!G39</f>
        <v/>
      </c>
      <c r="I42" s="86">
        <f>'CALC ENGINE'!H39</f>
        <v/>
      </c>
      <c r="J42" s="87">
        <f>'CALC ENGINE'!I39</f>
        <v/>
      </c>
      <c r="K42" s="87">
        <f>'CALC ENGINE'!J39</f>
        <v/>
      </c>
      <c r="L42" s="87">
        <f>'CALC ENGINE'!K39</f>
        <v/>
      </c>
      <c r="M42" s="87">
        <f>'CALC ENGINE'!M39</f>
        <v/>
      </c>
      <c r="N42" s="87">
        <f>'CALC ENGINE'!N39</f>
        <v/>
      </c>
      <c r="O42" s="87">
        <f>'CALC ENGINE'!O39</f>
        <v/>
      </c>
      <c r="P42" s="87">
        <f>'CALC ENGINE'!P39</f>
        <v/>
      </c>
      <c r="Q42" s="87">
        <f>'CALC ENGINE'!Q39</f>
        <v/>
      </c>
      <c r="R42" s="87">
        <f>'CALC ENGINE'!R39</f>
        <v/>
      </c>
      <c r="S42" s="86">
        <f>'CALC ENGINE'!S39</f>
        <v/>
      </c>
      <c r="T42" s="87">
        <f>'CALC ENGINE'!T39</f>
        <v/>
      </c>
    </row>
    <row r="43" ht="18" customHeight="1">
      <c r="B43" s="85" t="n">
        <v>38</v>
      </c>
      <c r="C43" s="88">
        <f>'CALC ENGINE'!B40</f>
        <v/>
      </c>
      <c r="D43" s="88">
        <f>'CALC ENGINE'!C40</f>
        <v/>
      </c>
      <c r="E43" s="88">
        <f>'CALC ENGINE'!D40</f>
        <v/>
      </c>
      <c r="F43" s="89">
        <f>'CALC ENGINE'!E40</f>
        <v/>
      </c>
      <c r="G43" s="89">
        <f>'CALC ENGINE'!F40</f>
        <v/>
      </c>
      <c r="H43" s="89">
        <f>'CALC ENGINE'!G40</f>
        <v/>
      </c>
      <c r="I43" s="88">
        <f>'CALC ENGINE'!H40</f>
        <v/>
      </c>
      <c r="J43" s="89">
        <f>'CALC ENGINE'!I40</f>
        <v/>
      </c>
      <c r="K43" s="89">
        <f>'CALC ENGINE'!J40</f>
        <v/>
      </c>
      <c r="L43" s="89">
        <f>'CALC ENGINE'!K40</f>
        <v/>
      </c>
      <c r="M43" s="89">
        <f>'CALC ENGINE'!M40</f>
        <v/>
      </c>
      <c r="N43" s="89">
        <f>'CALC ENGINE'!N40</f>
        <v/>
      </c>
      <c r="O43" s="89">
        <f>'CALC ENGINE'!O40</f>
        <v/>
      </c>
      <c r="P43" s="89">
        <f>'CALC ENGINE'!P40</f>
        <v/>
      </c>
      <c r="Q43" s="89">
        <f>'CALC ENGINE'!Q40</f>
        <v/>
      </c>
      <c r="R43" s="89">
        <f>'CALC ENGINE'!R40</f>
        <v/>
      </c>
      <c r="S43" s="88">
        <f>'CALC ENGINE'!S40</f>
        <v/>
      </c>
      <c r="T43" s="89">
        <f>'CALC ENGINE'!T40</f>
        <v/>
      </c>
    </row>
    <row r="44" ht="18" customHeight="1">
      <c r="B44" s="85" t="n">
        <v>39</v>
      </c>
      <c r="C44" s="86">
        <f>'CALC ENGINE'!B41</f>
        <v/>
      </c>
      <c r="D44" s="86">
        <f>'CALC ENGINE'!C41</f>
        <v/>
      </c>
      <c r="E44" s="86">
        <f>'CALC ENGINE'!D41</f>
        <v/>
      </c>
      <c r="F44" s="87">
        <f>'CALC ENGINE'!E41</f>
        <v/>
      </c>
      <c r="G44" s="87">
        <f>'CALC ENGINE'!F41</f>
        <v/>
      </c>
      <c r="H44" s="87">
        <f>'CALC ENGINE'!G41</f>
        <v/>
      </c>
      <c r="I44" s="86">
        <f>'CALC ENGINE'!H41</f>
        <v/>
      </c>
      <c r="J44" s="87">
        <f>'CALC ENGINE'!I41</f>
        <v/>
      </c>
      <c r="K44" s="87">
        <f>'CALC ENGINE'!J41</f>
        <v/>
      </c>
      <c r="L44" s="87">
        <f>'CALC ENGINE'!K41</f>
        <v/>
      </c>
      <c r="M44" s="87">
        <f>'CALC ENGINE'!M41</f>
        <v/>
      </c>
      <c r="N44" s="87">
        <f>'CALC ENGINE'!N41</f>
        <v/>
      </c>
      <c r="O44" s="87">
        <f>'CALC ENGINE'!O41</f>
        <v/>
      </c>
      <c r="P44" s="87">
        <f>'CALC ENGINE'!P41</f>
        <v/>
      </c>
      <c r="Q44" s="87">
        <f>'CALC ENGINE'!Q41</f>
        <v/>
      </c>
      <c r="R44" s="87">
        <f>'CALC ENGINE'!R41</f>
        <v/>
      </c>
      <c r="S44" s="86">
        <f>'CALC ENGINE'!S41</f>
        <v/>
      </c>
      <c r="T44" s="87">
        <f>'CALC ENGINE'!T41</f>
        <v/>
      </c>
    </row>
    <row r="45" ht="18" customHeight="1">
      <c r="B45" s="85" t="n">
        <v>40</v>
      </c>
      <c r="C45" s="88">
        <f>'CALC ENGINE'!B42</f>
        <v/>
      </c>
      <c r="D45" s="88">
        <f>'CALC ENGINE'!C42</f>
        <v/>
      </c>
      <c r="E45" s="88">
        <f>'CALC ENGINE'!D42</f>
        <v/>
      </c>
      <c r="F45" s="89">
        <f>'CALC ENGINE'!E42</f>
        <v/>
      </c>
      <c r="G45" s="89">
        <f>'CALC ENGINE'!F42</f>
        <v/>
      </c>
      <c r="H45" s="89">
        <f>'CALC ENGINE'!G42</f>
        <v/>
      </c>
      <c r="I45" s="88">
        <f>'CALC ENGINE'!H42</f>
        <v/>
      </c>
      <c r="J45" s="89">
        <f>'CALC ENGINE'!I42</f>
        <v/>
      </c>
      <c r="K45" s="89">
        <f>'CALC ENGINE'!J42</f>
        <v/>
      </c>
      <c r="L45" s="89">
        <f>'CALC ENGINE'!K42</f>
        <v/>
      </c>
      <c r="M45" s="89">
        <f>'CALC ENGINE'!M42</f>
        <v/>
      </c>
      <c r="N45" s="89">
        <f>'CALC ENGINE'!N42</f>
        <v/>
      </c>
      <c r="O45" s="89">
        <f>'CALC ENGINE'!O42</f>
        <v/>
      </c>
      <c r="P45" s="89">
        <f>'CALC ENGINE'!P42</f>
        <v/>
      </c>
      <c r="Q45" s="89">
        <f>'CALC ENGINE'!Q42</f>
        <v/>
      </c>
      <c r="R45" s="89">
        <f>'CALC ENGINE'!R42</f>
        <v/>
      </c>
      <c r="S45" s="88">
        <f>'CALC ENGINE'!S42</f>
        <v/>
      </c>
      <c r="T45" s="89">
        <f>'CALC ENGINE'!T42</f>
        <v/>
      </c>
    </row>
    <row r="46" ht="18" customHeight="1">
      <c r="B46" s="85" t="n">
        <v>41</v>
      </c>
      <c r="C46" s="86">
        <f>'CALC ENGINE'!B43</f>
        <v/>
      </c>
      <c r="D46" s="86">
        <f>'CALC ENGINE'!C43</f>
        <v/>
      </c>
      <c r="E46" s="86">
        <f>'CALC ENGINE'!D43</f>
        <v/>
      </c>
      <c r="F46" s="87">
        <f>'CALC ENGINE'!E43</f>
        <v/>
      </c>
      <c r="G46" s="87">
        <f>'CALC ENGINE'!F43</f>
        <v/>
      </c>
      <c r="H46" s="87">
        <f>'CALC ENGINE'!G43</f>
        <v/>
      </c>
      <c r="I46" s="86">
        <f>'CALC ENGINE'!H43</f>
        <v/>
      </c>
      <c r="J46" s="87">
        <f>'CALC ENGINE'!I43</f>
        <v/>
      </c>
      <c r="K46" s="87">
        <f>'CALC ENGINE'!J43</f>
        <v/>
      </c>
      <c r="L46" s="87">
        <f>'CALC ENGINE'!K43</f>
        <v/>
      </c>
      <c r="M46" s="87">
        <f>'CALC ENGINE'!M43</f>
        <v/>
      </c>
      <c r="N46" s="87">
        <f>'CALC ENGINE'!N43</f>
        <v/>
      </c>
      <c r="O46" s="87">
        <f>'CALC ENGINE'!O43</f>
        <v/>
      </c>
      <c r="P46" s="87">
        <f>'CALC ENGINE'!P43</f>
        <v/>
      </c>
      <c r="Q46" s="87">
        <f>'CALC ENGINE'!Q43</f>
        <v/>
      </c>
      <c r="R46" s="87">
        <f>'CALC ENGINE'!R43</f>
        <v/>
      </c>
      <c r="S46" s="86">
        <f>'CALC ENGINE'!S43</f>
        <v/>
      </c>
      <c r="T46" s="87">
        <f>'CALC ENGINE'!T43</f>
        <v/>
      </c>
    </row>
    <row r="47" ht="18" customHeight="1">
      <c r="B47" s="85" t="n">
        <v>42</v>
      </c>
      <c r="C47" s="88">
        <f>'CALC ENGINE'!B44</f>
        <v/>
      </c>
      <c r="D47" s="88">
        <f>'CALC ENGINE'!C44</f>
        <v/>
      </c>
      <c r="E47" s="88">
        <f>'CALC ENGINE'!D44</f>
        <v/>
      </c>
      <c r="F47" s="89">
        <f>'CALC ENGINE'!E44</f>
        <v/>
      </c>
      <c r="G47" s="89">
        <f>'CALC ENGINE'!F44</f>
        <v/>
      </c>
      <c r="H47" s="89">
        <f>'CALC ENGINE'!G44</f>
        <v/>
      </c>
      <c r="I47" s="88">
        <f>'CALC ENGINE'!H44</f>
        <v/>
      </c>
      <c r="J47" s="89">
        <f>'CALC ENGINE'!I44</f>
        <v/>
      </c>
      <c r="K47" s="89">
        <f>'CALC ENGINE'!J44</f>
        <v/>
      </c>
      <c r="L47" s="89">
        <f>'CALC ENGINE'!K44</f>
        <v/>
      </c>
      <c r="M47" s="89">
        <f>'CALC ENGINE'!M44</f>
        <v/>
      </c>
      <c r="N47" s="89">
        <f>'CALC ENGINE'!N44</f>
        <v/>
      </c>
      <c r="O47" s="89">
        <f>'CALC ENGINE'!O44</f>
        <v/>
      </c>
      <c r="P47" s="89">
        <f>'CALC ENGINE'!P44</f>
        <v/>
      </c>
      <c r="Q47" s="89">
        <f>'CALC ENGINE'!Q44</f>
        <v/>
      </c>
      <c r="R47" s="89">
        <f>'CALC ENGINE'!R44</f>
        <v/>
      </c>
      <c r="S47" s="88">
        <f>'CALC ENGINE'!S44</f>
        <v/>
      </c>
      <c r="T47" s="89">
        <f>'CALC ENGINE'!T44</f>
        <v/>
      </c>
    </row>
    <row r="48" ht="18" customHeight="1">
      <c r="B48" s="85" t="n">
        <v>43</v>
      </c>
      <c r="C48" s="86">
        <f>'CALC ENGINE'!B45</f>
        <v/>
      </c>
      <c r="D48" s="86">
        <f>'CALC ENGINE'!C45</f>
        <v/>
      </c>
      <c r="E48" s="86">
        <f>'CALC ENGINE'!D45</f>
        <v/>
      </c>
      <c r="F48" s="87">
        <f>'CALC ENGINE'!E45</f>
        <v/>
      </c>
      <c r="G48" s="87">
        <f>'CALC ENGINE'!F45</f>
        <v/>
      </c>
      <c r="H48" s="87">
        <f>'CALC ENGINE'!G45</f>
        <v/>
      </c>
      <c r="I48" s="86">
        <f>'CALC ENGINE'!H45</f>
        <v/>
      </c>
      <c r="J48" s="87">
        <f>'CALC ENGINE'!I45</f>
        <v/>
      </c>
      <c r="K48" s="87">
        <f>'CALC ENGINE'!J45</f>
        <v/>
      </c>
      <c r="L48" s="87">
        <f>'CALC ENGINE'!K45</f>
        <v/>
      </c>
      <c r="M48" s="87">
        <f>'CALC ENGINE'!M45</f>
        <v/>
      </c>
      <c r="N48" s="87">
        <f>'CALC ENGINE'!N45</f>
        <v/>
      </c>
      <c r="O48" s="87">
        <f>'CALC ENGINE'!O45</f>
        <v/>
      </c>
      <c r="P48" s="87">
        <f>'CALC ENGINE'!P45</f>
        <v/>
      </c>
      <c r="Q48" s="87">
        <f>'CALC ENGINE'!Q45</f>
        <v/>
      </c>
      <c r="R48" s="87">
        <f>'CALC ENGINE'!R45</f>
        <v/>
      </c>
      <c r="S48" s="86">
        <f>'CALC ENGINE'!S45</f>
        <v/>
      </c>
      <c r="T48" s="87">
        <f>'CALC ENGINE'!T45</f>
        <v/>
      </c>
    </row>
    <row r="49" ht="18" customHeight="1">
      <c r="B49" s="85" t="n">
        <v>44</v>
      </c>
      <c r="C49" s="88">
        <f>'CALC ENGINE'!B46</f>
        <v/>
      </c>
      <c r="D49" s="88">
        <f>'CALC ENGINE'!C46</f>
        <v/>
      </c>
      <c r="E49" s="88">
        <f>'CALC ENGINE'!D46</f>
        <v/>
      </c>
      <c r="F49" s="89">
        <f>'CALC ENGINE'!E46</f>
        <v/>
      </c>
      <c r="G49" s="89">
        <f>'CALC ENGINE'!F46</f>
        <v/>
      </c>
      <c r="H49" s="89">
        <f>'CALC ENGINE'!G46</f>
        <v/>
      </c>
      <c r="I49" s="88">
        <f>'CALC ENGINE'!H46</f>
        <v/>
      </c>
      <c r="J49" s="89">
        <f>'CALC ENGINE'!I46</f>
        <v/>
      </c>
      <c r="K49" s="89">
        <f>'CALC ENGINE'!J46</f>
        <v/>
      </c>
      <c r="L49" s="89">
        <f>'CALC ENGINE'!K46</f>
        <v/>
      </c>
      <c r="M49" s="89">
        <f>'CALC ENGINE'!M46</f>
        <v/>
      </c>
      <c r="N49" s="89">
        <f>'CALC ENGINE'!N46</f>
        <v/>
      </c>
      <c r="O49" s="89">
        <f>'CALC ENGINE'!O46</f>
        <v/>
      </c>
      <c r="P49" s="89">
        <f>'CALC ENGINE'!P46</f>
        <v/>
      </c>
      <c r="Q49" s="89">
        <f>'CALC ENGINE'!Q46</f>
        <v/>
      </c>
      <c r="R49" s="89">
        <f>'CALC ENGINE'!R46</f>
        <v/>
      </c>
      <c r="S49" s="88">
        <f>'CALC ENGINE'!S46</f>
        <v/>
      </c>
      <c r="T49" s="89">
        <f>'CALC ENGINE'!T46</f>
        <v/>
      </c>
    </row>
    <row r="50" ht="18" customHeight="1">
      <c r="B50" s="85" t="n">
        <v>45</v>
      </c>
      <c r="C50" s="86">
        <f>'CALC ENGINE'!B47</f>
        <v/>
      </c>
      <c r="D50" s="86">
        <f>'CALC ENGINE'!C47</f>
        <v/>
      </c>
      <c r="E50" s="86">
        <f>'CALC ENGINE'!D47</f>
        <v/>
      </c>
      <c r="F50" s="87">
        <f>'CALC ENGINE'!E47</f>
        <v/>
      </c>
      <c r="G50" s="87">
        <f>'CALC ENGINE'!F47</f>
        <v/>
      </c>
      <c r="H50" s="87">
        <f>'CALC ENGINE'!G47</f>
        <v/>
      </c>
      <c r="I50" s="86">
        <f>'CALC ENGINE'!H47</f>
        <v/>
      </c>
      <c r="J50" s="87">
        <f>'CALC ENGINE'!I47</f>
        <v/>
      </c>
      <c r="K50" s="87">
        <f>'CALC ENGINE'!J47</f>
        <v/>
      </c>
      <c r="L50" s="87">
        <f>'CALC ENGINE'!K47</f>
        <v/>
      </c>
      <c r="M50" s="87">
        <f>'CALC ENGINE'!M47</f>
        <v/>
      </c>
      <c r="N50" s="87">
        <f>'CALC ENGINE'!N47</f>
        <v/>
      </c>
      <c r="O50" s="87">
        <f>'CALC ENGINE'!O47</f>
        <v/>
      </c>
      <c r="P50" s="87">
        <f>'CALC ENGINE'!P47</f>
        <v/>
      </c>
      <c r="Q50" s="87">
        <f>'CALC ENGINE'!Q47</f>
        <v/>
      </c>
      <c r="R50" s="87">
        <f>'CALC ENGINE'!R47</f>
        <v/>
      </c>
      <c r="S50" s="86">
        <f>'CALC ENGINE'!S47</f>
        <v/>
      </c>
      <c r="T50" s="87">
        <f>'CALC ENGINE'!T47</f>
        <v/>
      </c>
    </row>
    <row r="51" ht="18" customHeight="1">
      <c r="B51" s="85" t="n">
        <v>46</v>
      </c>
      <c r="C51" s="88">
        <f>'CALC ENGINE'!B48</f>
        <v/>
      </c>
      <c r="D51" s="88">
        <f>'CALC ENGINE'!C48</f>
        <v/>
      </c>
      <c r="E51" s="88">
        <f>'CALC ENGINE'!D48</f>
        <v/>
      </c>
      <c r="F51" s="89">
        <f>'CALC ENGINE'!E48</f>
        <v/>
      </c>
      <c r="G51" s="89">
        <f>'CALC ENGINE'!F48</f>
        <v/>
      </c>
      <c r="H51" s="89">
        <f>'CALC ENGINE'!G48</f>
        <v/>
      </c>
      <c r="I51" s="88">
        <f>'CALC ENGINE'!H48</f>
        <v/>
      </c>
      <c r="J51" s="89">
        <f>'CALC ENGINE'!I48</f>
        <v/>
      </c>
      <c r="K51" s="89">
        <f>'CALC ENGINE'!J48</f>
        <v/>
      </c>
      <c r="L51" s="89">
        <f>'CALC ENGINE'!K48</f>
        <v/>
      </c>
      <c r="M51" s="89">
        <f>'CALC ENGINE'!M48</f>
        <v/>
      </c>
      <c r="N51" s="89">
        <f>'CALC ENGINE'!N48</f>
        <v/>
      </c>
      <c r="O51" s="89">
        <f>'CALC ENGINE'!O48</f>
        <v/>
      </c>
      <c r="P51" s="89">
        <f>'CALC ENGINE'!P48</f>
        <v/>
      </c>
      <c r="Q51" s="89">
        <f>'CALC ENGINE'!Q48</f>
        <v/>
      </c>
      <c r="R51" s="89">
        <f>'CALC ENGINE'!R48</f>
        <v/>
      </c>
      <c r="S51" s="88">
        <f>'CALC ENGINE'!S48</f>
        <v/>
      </c>
      <c r="T51" s="89">
        <f>'CALC ENGINE'!T48</f>
        <v/>
      </c>
    </row>
    <row r="52" ht="18" customHeight="1">
      <c r="B52" s="85" t="n">
        <v>47</v>
      </c>
      <c r="C52" s="86">
        <f>'CALC ENGINE'!B49</f>
        <v/>
      </c>
      <c r="D52" s="86">
        <f>'CALC ENGINE'!C49</f>
        <v/>
      </c>
      <c r="E52" s="86">
        <f>'CALC ENGINE'!D49</f>
        <v/>
      </c>
      <c r="F52" s="87">
        <f>'CALC ENGINE'!E49</f>
        <v/>
      </c>
      <c r="G52" s="87">
        <f>'CALC ENGINE'!F49</f>
        <v/>
      </c>
      <c r="H52" s="87">
        <f>'CALC ENGINE'!G49</f>
        <v/>
      </c>
      <c r="I52" s="86">
        <f>'CALC ENGINE'!H49</f>
        <v/>
      </c>
      <c r="J52" s="87">
        <f>'CALC ENGINE'!I49</f>
        <v/>
      </c>
      <c r="K52" s="87">
        <f>'CALC ENGINE'!J49</f>
        <v/>
      </c>
      <c r="L52" s="87">
        <f>'CALC ENGINE'!K49</f>
        <v/>
      </c>
      <c r="M52" s="87">
        <f>'CALC ENGINE'!M49</f>
        <v/>
      </c>
      <c r="N52" s="87">
        <f>'CALC ENGINE'!N49</f>
        <v/>
      </c>
      <c r="O52" s="87">
        <f>'CALC ENGINE'!O49</f>
        <v/>
      </c>
      <c r="P52" s="87">
        <f>'CALC ENGINE'!P49</f>
        <v/>
      </c>
      <c r="Q52" s="87">
        <f>'CALC ENGINE'!Q49</f>
        <v/>
      </c>
      <c r="R52" s="87">
        <f>'CALC ENGINE'!R49</f>
        <v/>
      </c>
      <c r="S52" s="86">
        <f>'CALC ENGINE'!S49</f>
        <v/>
      </c>
      <c r="T52" s="87">
        <f>'CALC ENGINE'!T49</f>
        <v/>
      </c>
    </row>
    <row r="53" ht="18" customHeight="1">
      <c r="B53" s="85" t="n">
        <v>48</v>
      </c>
      <c r="C53" s="88">
        <f>'CALC ENGINE'!B50</f>
        <v/>
      </c>
      <c r="D53" s="88">
        <f>'CALC ENGINE'!C50</f>
        <v/>
      </c>
      <c r="E53" s="88">
        <f>'CALC ENGINE'!D50</f>
        <v/>
      </c>
      <c r="F53" s="89">
        <f>'CALC ENGINE'!E50</f>
        <v/>
      </c>
      <c r="G53" s="89">
        <f>'CALC ENGINE'!F50</f>
        <v/>
      </c>
      <c r="H53" s="89">
        <f>'CALC ENGINE'!G50</f>
        <v/>
      </c>
      <c r="I53" s="88">
        <f>'CALC ENGINE'!H50</f>
        <v/>
      </c>
      <c r="J53" s="89">
        <f>'CALC ENGINE'!I50</f>
        <v/>
      </c>
      <c r="K53" s="89">
        <f>'CALC ENGINE'!J50</f>
        <v/>
      </c>
      <c r="L53" s="89">
        <f>'CALC ENGINE'!K50</f>
        <v/>
      </c>
      <c r="M53" s="89">
        <f>'CALC ENGINE'!M50</f>
        <v/>
      </c>
      <c r="N53" s="89">
        <f>'CALC ENGINE'!N50</f>
        <v/>
      </c>
      <c r="O53" s="89">
        <f>'CALC ENGINE'!O50</f>
        <v/>
      </c>
      <c r="P53" s="89">
        <f>'CALC ENGINE'!P50</f>
        <v/>
      </c>
      <c r="Q53" s="89">
        <f>'CALC ENGINE'!Q50</f>
        <v/>
      </c>
      <c r="R53" s="89">
        <f>'CALC ENGINE'!R50</f>
        <v/>
      </c>
      <c r="S53" s="88">
        <f>'CALC ENGINE'!S50</f>
        <v/>
      </c>
      <c r="T53" s="89">
        <f>'CALC ENGINE'!T50</f>
        <v/>
      </c>
    </row>
    <row r="54" ht="18" customHeight="1">
      <c r="B54" s="85" t="n">
        <v>49</v>
      </c>
      <c r="C54" s="86">
        <f>'CALC ENGINE'!B51</f>
        <v/>
      </c>
      <c r="D54" s="86">
        <f>'CALC ENGINE'!C51</f>
        <v/>
      </c>
      <c r="E54" s="86">
        <f>'CALC ENGINE'!D51</f>
        <v/>
      </c>
      <c r="F54" s="87">
        <f>'CALC ENGINE'!E51</f>
        <v/>
      </c>
      <c r="G54" s="87">
        <f>'CALC ENGINE'!F51</f>
        <v/>
      </c>
      <c r="H54" s="87">
        <f>'CALC ENGINE'!G51</f>
        <v/>
      </c>
      <c r="I54" s="86">
        <f>'CALC ENGINE'!H51</f>
        <v/>
      </c>
      <c r="J54" s="87">
        <f>'CALC ENGINE'!I51</f>
        <v/>
      </c>
      <c r="K54" s="87">
        <f>'CALC ENGINE'!J51</f>
        <v/>
      </c>
      <c r="L54" s="87">
        <f>'CALC ENGINE'!K51</f>
        <v/>
      </c>
      <c r="M54" s="87">
        <f>'CALC ENGINE'!M51</f>
        <v/>
      </c>
      <c r="N54" s="87">
        <f>'CALC ENGINE'!N51</f>
        <v/>
      </c>
      <c r="O54" s="87">
        <f>'CALC ENGINE'!O51</f>
        <v/>
      </c>
      <c r="P54" s="87">
        <f>'CALC ENGINE'!P51</f>
        <v/>
      </c>
      <c r="Q54" s="87">
        <f>'CALC ENGINE'!Q51</f>
        <v/>
      </c>
      <c r="R54" s="87">
        <f>'CALC ENGINE'!R51</f>
        <v/>
      </c>
      <c r="S54" s="86">
        <f>'CALC ENGINE'!S51</f>
        <v/>
      </c>
      <c r="T54" s="87">
        <f>'CALC ENGINE'!T51</f>
        <v/>
      </c>
    </row>
    <row r="55" ht="18" customHeight="1">
      <c r="B55" s="85" t="n">
        <v>50</v>
      </c>
      <c r="C55" s="88">
        <f>'CALC ENGINE'!B52</f>
        <v/>
      </c>
      <c r="D55" s="88">
        <f>'CALC ENGINE'!C52</f>
        <v/>
      </c>
      <c r="E55" s="88">
        <f>'CALC ENGINE'!D52</f>
        <v/>
      </c>
      <c r="F55" s="89">
        <f>'CALC ENGINE'!E52</f>
        <v/>
      </c>
      <c r="G55" s="89">
        <f>'CALC ENGINE'!F52</f>
        <v/>
      </c>
      <c r="H55" s="89">
        <f>'CALC ENGINE'!G52</f>
        <v/>
      </c>
      <c r="I55" s="88">
        <f>'CALC ENGINE'!H52</f>
        <v/>
      </c>
      <c r="J55" s="89">
        <f>'CALC ENGINE'!I52</f>
        <v/>
      </c>
      <c r="K55" s="89">
        <f>'CALC ENGINE'!J52</f>
        <v/>
      </c>
      <c r="L55" s="89">
        <f>'CALC ENGINE'!K52</f>
        <v/>
      </c>
      <c r="M55" s="89">
        <f>'CALC ENGINE'!M52</f>
        <v/>
      </c>
      <c r="N55" s="89">
        <f>'CALC ENGINE'!N52</f>
        <v/>
      </c>
      <c r="O55" s="89">
        <f>'CALC ENGINE'!O52</f>
        <v/>
      </c>
      <c r="P55" s="89">
        <f>'CALC ENGINE'!P52</f>
        <v/>
      </c>
      <c r="Q55" s="89">
        <f>'CALC ENGINE'!Q52</f>
        <v/>
      </c>
      <c r="R55" s="89">
        <f>'CALC ENGINE'!R52</f>
        <v/>
      </c>
      <c r="S55" s="88">
        <f>'CALC ENGINE'!S52</f>
        <v/>
      </c>
      <c r="T55" s="89">
        <f>'CALC ENGINE'!T52</f>
        <v/>
      </c>
    </row>
    <row r="56" ht="18" customHeight="1">
      <c r="B56" s="85" t="n">
        <v>51</v>
      </c>
      <c r="C56" s="86">
        <f>'CALC ENGINE'!B53</f>
        <v/>
      </c>
      <c r="D56" s="86">
        <f>'CALC ENGINE'!C53</f>
        <v/>
      </c>
      <c r="E56" s="86">
        <f>'CALC ENGINE'!D53</f>
        <v/>
      </c>
      <c r="F56" s="87">
        <f>'CALC ENGINE'!E53</f>
        <v/>
      </c>
      <c r="G56" s="87">
        <f>'CALC ENGINE'!F53</f>
        <v/>
      </c>
      <c r="H56" s="87">
        <f>'CALC ENGINE'!G53</f>
        <v/>
      </c>
      <c r="I56" s="86">
        <f>'CALC ENGINE'!H53</f>
        <v/>
      </c>
      <c r="J56" s="87">
        <f>'CALC ENGINE'!I53</f>
        <v/>
      </c>
      <c r="K56" s="87">
        <f>'CALC ENGINE'!J53</f>
        <v/>
      </c>
      <c r="L56" s="87">
        <f>'CALC ENGINE'!K53</f>
        <v/>
      </c>
      <c r="M56" s="87">
        <f>'CALC ENGINE'!M53</f>
        <v/>
      </c>
      <c r="N56" s="87">
        <f>'CALC ENGINE'!N53</f>
        <v/>
      </c>
      <c r="O56" s="87">
        <f>'CALC ENGINE'!O53</f>
        <v/>
      </c>
      <c r="P56" s="87">
        <f>'CALC ENGINE'!P53</f>
        <v/>
      </c>
      <c r="Q56" s="87">
        <f>'CALC ENGINE'!Q53</f>
        <v/>
      </c>
      <c r="R56" s="87">
        <f>'CALC ENGINE'!R53</f>
        <v/>
      </c>
      <c r="S56" s="86">
        <f>'CALC ENGINE'!S53</f>
        <v/>
      </c>
      <c r="T56" s="87">
        <f>'CALC ENGINE'!T53</f>
        <v/>
      </c>
    </row>
    <row r="57" ht="18" customHeight="1">
      <c r="B57" s="85" t="n">
        <v>52</v>
      </c>
      <c r="C57" s="88">
        <f>'CALC ENGINE'!B54</f>
        <v/>
      </c>
      <c r="D57" s="88">
        <f>'CALC ENGINE'!C54</f>
        <v/>
      </c>
      <c r="E57" s="88">
        <f>'CALC ENGINE'!D54</f>
        <v/>
      </c>
      <c r="F57" s="89">
        <f>'CALC ENGINE'!E54</f>
        <v/>
      </c>
      <c r="G57" s="89">
        <f>'CALC ENGINE'!F54</f>
        <v/>
      </c>
      <c r="H57" s="89">
        <f>'CALC ENGINE'!G54</f>
        <v/>
      </c>
      <c r="I57" s="88">
        <f>'CALC ENGINE'!H54</f>
        <v/>
      </c>
      <c r="J57" s="89">
        <f>'CALC ENGINE'!I54</f>
        <v/>
      </c>
      <c r="K57" s="89">
        <f>'CALC ENGINE'!J54</f>
        <v/>
      </c>
      <c r="L57" s="89">
        <f>'CALC ENGINE'!K54</f>
        <v/>
      </c>
      <c r="M57" s="89">
        <f>'CALC ENGINE'!M54</f>
        <v/>
      </c>
      <c r="N57" s="89">
        <f>'CALC ENGINE'!N54</f>
        <v/>
      </c>
      <c r="O57" s="89">
        <f>'CALC ENGINE'!O54</f>
        <v/>
      </c>
      <c r="P57" s="89">
        <f>'CALC ENGINE'!P54</f>
        <v/>
      </c>
      <c r="Q57" s="89">
        <f>'CALC ENGINE'!Q54</f>
        <v/>
      </c>
      <c r="R57" s="89">
        <f>'CALC ENGINE'!R54</f>
        <v/>
      </c>
      <c r="S57" s="88">
        <f>'CALC ENGINE'!S54</f>
        <v/>
      </c>
      <c r="T57" s="89">
        <f>'CALC ENGINE'!T54</f>
        <v/>
      </c>
    </row>
    <row r="58" ht="18" customHeight="1">
      <c r="B58" s="85" t="n">
        <v>53</v>
      </c>
      <c r="C58" s="86">
        <f>'CALC ENGINE'!B55</f>
        <v/>
      </c>
      <c r="D58" s="86">
        <f>'CALC ENGINE'!C55</f>
        <v/>
      </c>
      <c r="E58" s="86">
        <f>'CALC ENGINE'!D55</f>
        <v/>
      </c>
      <c r="F58" s="87">
        <f>'CALC ENGINE'!E55</f>
        <v/>
      </c>
      <c r="G58" s="87">
        <f>'CALC ENGINE'!F55</f>
        <v/>
      </c>
      <c r="H58" s="87">
        <f>'CALC ENGINE'!G55</f>
        <v/>
      </c>
      <c r="I58" s="86">
        <f>'CALC ENGINE'!H55</f>
        <v/>
      </c>
      <c r="J58" s="87">
        <f>'CALC ENGINE'!I55</f>
        <v/>
      </c>
      <c r="K58" s="87">
        <f>'CALC ENGINE'!J55</f>
        <v/>
      </c>
      <c r="L58" s="87">
        <f>'CALC ENGINE'!K55</f>
        <v/>
      </c>
      <c r="M58" s="87">
        <f>'CALC ENGINE'!M55</f>
        <v/>
      </c>
      <c r="N58" s="87">
        <f>'CALC ENGINE'!N55</f>
        <v/>
      </c>
      <c r="O58" s="87">
        <f>'CALC ENGINE'!O55</f>
        <v/>
      </c>
      <c r="P58" s="87">
        <f>'CALC ENGINE'!P55</f>
        <v/>
      </c>
      <c r="Q58" s="87">
        <f>'CALC ENGINE'!Q55</f>
        <v/>
      </c>
      <c r="R58" s="87">
        <f>'CALC ENGINE'!R55</f>
        <v/>
      </c>
      <c r="S58" s="86">
        <f>'CALC ENGINE'!S55</f>
        <v/>
      </c>
      <c r="T58" s="87">
        <f>'CALC ENGINE'!T55</f>
        <v/>
      </c>
    </row>
    <row r="59" ht="18" customHeight="1">
      <c r="B59" s="85" t="n">
        <v>54</v>
      </c>
      <c r="C59" s="88">
        <f>'CALC ENGINE'!B56</f>
        <v/>
      </c>
      <c r="D59" s="88">
        <f>'CALC ENGINE'!C56</f>
        <v/>
      </c>
      <c r="E59" s="88">
        <f>'CALC ENGINE'!D56</f>
        <v/>
      </c>
      <c r="F59" s="89">
        <f>'CALC ENGINE'!E56</f>
        <v/>
      </c>
      <c r="G59" s="89">
        <f>'CALC ENGINE'!F56</f>
        <v/>
      </c>
      <c r="H59" s="89">
        <f>'CALC ENGINE'!G56</f>
        <v/>
      </c>
      <c r="I59" s="88">
        <f>'CALC ENGINE'!H56</f>
        <v/>
      </c>
      <c r="J59" s="89">
        <f>'CALC ENGINE'!I56</f>
        <v/>
      </c>
      <c r="K59" s="89">
        <f>'CALC ENGINE'!J56</f>
        <v/>
      </c>
      <c r="L59" s="89">
        <f>'CALC ENGINE'!K56</f>
        <v/>
      </c>
      <c r="M59" s="89">
        <f>'CALC ENGINE'!M56</f>
        <v/>
      </c>
      <c r="N59" s="89">
        <f>'CALC ENGINE'!N56</f>
        <v/>
      </c>
      <c r="O59" s="89">
        <f>'CALC ENGINE'!O56</f>
        <v/>
      </c>
      <c r="P59" s="89">
        <f>'CALC ENGINE'!P56</f>
        <v/>
      </c>
      <c r="Q59" s="89">
        <f>'CALC ENGINE'!Q56</f>
        <v/>
      </c>
      <c r="R59" s="89">
        <f>'CALC ENGINE'!R56</f>
        <v/>
      </c>
      <c r="S59" s="88">
        <f>'CALC ENGINE'!S56</f>
        <v/>
      </c>
      <c r="T59" s="89">
        <f>'CALC ENGINE'!T56</f>
        <v/>
      </c>
    </row>
    <row r="60" ht="18" customHeight="1">
      <c r="B60" s="85" t="n">
        <v>55</v>
      </c>
      <c r="C60" s="86">
        <f>'CALC ENGINE'!B57</f>
        <v/>
      </c>
      <c r="D60" s="86">
        <f>'CALC ENGINE'!C57</f>
        <v/>
      </c>
      <c r="E60" s="86">
        <f>'CALC ENGINE'!D57</f>
        <v/>
      </c>
      <c r="F60" s="87">
        <f>'CALC ENGINE'!E57</f>
        <v/>
      </c>
      <c r="G60" s="87">
        <f>'CALC ENGINE'!F57</f>
        <v/>
      </c>
      <c r="H60" s="87">
        <f>'CALC ENGINE'!G57</f>
        <v/>
      </c>
      <c r="I60" s="86">
        <f>'CALC ENGINE'!H57</f>
        <v/>
      </c>
      <c r="J60" s="87">
        <f>'CALC ENGINE'!I57</f>
        <v/>
      </c>
      <c r="K60" s="87">
        <f>'CALC ENGINE'!J57</f>
        <v/>
      </c>
      <c r="L60" s="87">
        <f>'CALC ENGINE'!K57</f>
        <v/>
      </c>
      <c r="M60" s="87">
        <f>'CALC ENGINE'!M57</f>
        <v/>
      </c>
      <c r="N60" s="87">
        <f>'CALC ENGINE'!N57</f>
        <v/>
      </c>
      <c r="O60" s="87">
        <f>'CALC ENGINE'!O57</f>
        <v/>
      </c>
      <c r="P60" s="87">
        <f>'CALC ENGINE'!P57</f>
        <v/>
      </c>
      <c r="Q60" s="87">
        <f>'CALC ENGINE'!Q57</f>
        <v/>
      </c>
      <c r="R60" s="87">
        <f>'CALC ENGINE'!R57</f>
        <v/>
      </c>
      <c r="S60" s="86">
        <f>'CALC ENGINE'!S57</f>
        <v/>
      </c>
      <c r="T60" s="87">
        <f>'CALC ENGINE'!T57</f>
        <v/>
      </c>
    </row>
    <row r="61" ht="18" customHeight="1">
      <c r="B61" s="85" t="n">
        <v>56</v>
      </c>
      <c r="C61" s="88">
        <f>'CALC ENGINE'!B58</f>
        <v/>
      </c>
      <c r="D61" s="88">
        <f>'CALC ENGINE'!C58</f>
        <v/>
      </c>
      <c r="E61" s="88">
        <f>'CALC ENGINE'!D58</f>
        <v/>
      </c>
      <c r="F61" s="89">
        <f>'CALC ENGINE'!E58</f>
        <v/>
      </c>
      <c r="G61" s="89">
        <f>'CALC ENGINE'!F58</f>
        <v/>
      </c>
      <c r="H61" s="89">
        <f>'CALC ENGINE'!G58</f>
        <v/>
      </c>
      <c r="I61" s="88">
        <f>'CALC ENGINE'!H58</f>
        <v/>
      </c>
      <c r="J61" s="89">
        <f>'CALC ENGINE'!I58</f>
        <v/>
      </c>
      <c r="K61" s="89">
        <f>'CALC ENGINE'!J58</f>
        <v/>
      </c>
      <c r="L61" s="89">
        <f>'CALC ENGINE'!K58</f>
        <v/>
      </c>
      <c r="M61" s="89">
        <f>'CALC ENGINE'!M58</f>
        <v/>
      </c>
      <c r="N61" s="89">
        <f>'CALC ENGINE'!N58</f>
        <v/>
      </c>
      <c r="O61" s="89">
        <f>'CALC ENGINE'!O58</f>
        <v/>
      </c>
      <c r="P61" s="89">
        <f>'CALC ENGINE'!P58</f>
        <v/>
      </c>
      <c r="Q61" s="89">
        <f>'CALC ENGINE'!Q58</f>
        <v/>
      </c>
      <c r="R61" s="89">
        <f>'CALC ENGINE'!R58</f>
        <v/>
      </c>
      <c r="S61" s="88">
        <f>'CALC ENGINE'!S58</f>
        <v/>
      </c>
      <c r="T61" s="89">
        <f>'CALC ENGINE'!T58</f>
        <v/>
      </c>
    </row>
    <row r="62" ht="18" customHeight="1">
      <c r="B62" s="85" t="n">
        <v>57</v>
      </c>
      <c r="C62" s="86">
        <f>'CALC ENGINE'!B59</f>
        <v/>
      </c>
      <c r="D62" s="86">
        <f>'CALC ENGINE'!C59</f>
        <v/>
      </c>
      <c r="E62" s="86">
        <f>'CALC ENGINE'!D59</f>
        <v/>
      </c>
      <c r="F62" s="87">
        <f>'CALC ENGINE'!E59</f>
        <v/>
      </c>
      <c r="G62" s="87">
        <f>'CALC ENGINE'!F59</f>
        <v/>
      </c>
      <c r="H62" s="87">
        <f>'CALC ENGINE'!G59</f>
        <v/>
      </c>
      <c r="I62" s="86">
        <f>'CALC ENGINE'!H59</f>
        <v/>
      </c>
      <c r="J62" s="87">
        <f>'CALC ENGINE'!I59</f>
        <v/>
      </c>
      <c r="K62" s="87">
        <f>'CALC ENGINE'!J59</f>
        <v/>
      </c>
      <c r="L62" s="87">
        <f>'CALC ENGINE'!K59</f>
        <v/>
      </c>
      <c r="M62" s="87">
        <f>'CALC ENGINE'!M59</f>
        <v/>
      </c>
      <c r="N62" s="87">
        <f>'CALC ENGINE'!N59</f>
        <v/>
      </c>
      <c r="O62" s="87">
        <f>'CALC ENGINE'!O59</f>
        <v/>
      </c>
      <c r="P62" s="87">
        <f>'CALC ENGINE'!P59</f>
        <v/>
      </c>
      <c r="Q62" s="87">
        <f>'CALC ENGINE'!Q59</f>
        <v/>
      </c>
      <c r="R62" s="87">
        <f>'CALC ENGINE'!R59</f>
        <v/>
      </c>
      <c r="S62" s="86">
        <f>'CALC ENGINE'!S59</f>
        <v/>
      </c>
      <c r="T62" s="87">
        <f>'CALC ENGINE'!T59</f>
        <v/>
      </c>
    </row>
    <row r="63" ht="18" customHeight="1">
      <c r="B63" s="85" t="n">
        <v>58</v>
      </c>
      <c r="C63" s="88">
        <f>'CALC ENGINE'!B60</f>
        <v/>
      </c>
      <c r="D63" s="88">
        <f>'CALC ENGINE'!C60</f>
        <v/>
      </c>
      <c r="E63" s="88">
        <f>'CALC ENGINE'!D60</f>
        <v/>
      </c>
      <c r="F63" s="89">
        <f>'CALC ENGINE'!E60</f>
        <v/>
      </c>
      <c r="G63" s="89">
        <f>'CALC ENGINE'!F60</f>
        <v/>
      </c>
      <c r="H63" s="89">
        <f>'CALC ENGINE'!G60</f>
        <v/>
      </c>
      <c r="I63" s="88">
        <f>'CALC ENGINE'!H60</f>
        <v/>
      </c>
      <c r="J63" s="89">
        <f>'CALC ENGINE'!I60</f>
        <v/>
      </c>
      <c r="K63" s="89">
        <f>'CALC ENGINE'!J60</f>
        <v/>
      </c>
      <c r="L63" s="89">
        <f>'CALC ENGINE'!K60</f>
        <v/>
      </c>
      <c r="M63" s="89">
        <f>'CALC ENGINE'!M60</f>
        <v/>
      </c>
      <c r="N63" s="89">
        <f>'CALC ENGINE'!N60</f>
        <v/>
      </c>
      <c r="O63" s="89">
        <f>'CALC ENGINE'!O60</f>
        <v/>
      </c>
      <c r="P63" s="89">
        <f>'CALC ENGINE'!P60</f>
        <v/>
      </c>
      <c r="Q63" s="89">
        <f>'CALC ENGINE'!Q60</f>
        <v/>
      </c>
      <c r="R63" s="89">
        <f>'CALC ENGINE'!R60</f>
        <v/>
      </c>
      <c r="S63" s="88">
        <f>'CALC ENGINE'!S60</f>
        <v/>
      </c>
      <c r="T63" s="89">
        <f>'CALC ENGINE'!T60</f>
        <v/>
      </c>
    </row>
    <row r="64" ht="18" customHeight="1">
      <c r="B64" s="85" t="n">
        <v>59</v>
      </c>
      <c r="C64" s="86">
        <f>'CALC ENGINE'!B61</f>
        <v/>
      </c>
      <c r="D64" s="86">
        <f>'CALC ENGINE'!C61</f>
        <v/>
      </c>
      <c r="E64" s="86">
        <f>'CALC ENGINE'!D61</f>
        <v/>
      </c>
      <c r="F64" s="87">
        <f>'CALC ENGINE'!E61</f>
        <v/>
      </c>
      <c r="G64" s="87">
        <f>'CALC ENGINE'!F61</f>
        <v/>
      </c>
      <c r="H64" s="87">
        <f>'CALC ENGINE'!G61</f>
        <v/>
      </c>
      <c r="I64" s="86">
        <f>'CALC ENGINE'!H61</f>
        <v/>
      </c>
      <c r="J64" s="87">
        <f>'CALC ENGINE'!I61</f>
        <v/>
      </c>
      <c r="K64" s="87">
        <f>'CALC ENGINE'!J61</f>
        <v/>
      </c>
      <c r="L64" s="87">
        <f>'CALC ENGINE'!K61</f>
        <v/>
      </c>
      <c r="M64" s="87">
        <f>'CALC ENGINE'!M61</f>
        <v/>
      </c>
      <c r="N64" s="87">
        <f>'CALC ENGINE'!N61</f>
        <v/>
      </c>
      <c r="O64" s="87">
        <f>'CALC ENGINE'!O61</f>
        <v/>
      </c>
      <c r="P64" s="87">
        <f>'CALC ENGINE'!P61</f>
        <v/>
      </c>
      <c r="Q64" s="87">
        <f>'CALC ENGINE'!Q61</f>
        <v/>
      </c>
      <c r="R64" s="87">
        <f>'CALC ENGINE'!R61</f>
        <v/>
      </c>
      <c r="S64" s="86">
        <f>'CALC ENGINE'!S61</f>
        <v/>
      </c>
      <c r="T64" s="87">
        <f>'CALC ENGINE'!T61</f>
        <v/>
      </c>
    </row>
    <row r="65" ht="18" customHeight="1">
      <c r="B65" s="85" t="n">
        <v>60</v>
      </c>
      <c r="C65" s="88">
        <f>'CALC ENGINE'!B62</f>
        <v/>
      </c>
      <c r="D65" s="88">
        <f>'CALC ENGINE'!C62</f>
        <v/>
      </c>
      <c r="E65" s="88">
        <f>'CALC ENGINE'!D62</f>
        <v/>
      </c>
      <c r="F65" s="89">
        <f>'CALC ENGINE'!E62</f>
        <v/>
      </c>
      <c r="G65" s="89">
        <f>'CALC ENGINE'!F62</f>
        <v/>
      </c>
      <c r="H65" s="89">
        <f>'CALC ENGINE'!G62</f>
        <v/>
      </c>
      <c r="I65" s="88">
        <f>'CALC ENGINE'!H62</f>
        <v/>
      </c>
      <c r="J65" s="89">
        <f>'CALC ENGINE'!I62</f>
        <v/>
      </c>
      <c r="K65" s="89">
        <f>'CALC ENGINE'!J62</f>
        <v/>
      </c>
      <c r="L65" s="89">
        <f>'CALC ENGINE'!K62</f>
        <v/>
      </c>
      <c r="M65" s="89">
        <f>'CALC ENGINE'!M62</f>
        <v/>
      </c>
      <c r="N65" s="89">
        <f>'CALC ENGINE'!N62</f>
        <v/>
      </c>
      <c r="O65" s="89">
        <f>'CALC ENGINE'!O62</f>
        <v/>
      </c>
      <c r="P65" s="89">
        <f>'CALC ENGINE'!P62</f>
        <v/>
      </c>
      <c r="Q65" s="89">
        <f>'CALC ENGINE'!Q62</f>
        <v/>
      </c>
      <c r="R65" s="89">
        <f>'CALC ENGINE'!R62</f>
        <v/>
      </c>
      <c r="S65" s="88">
        <f>'CALC ENGINE'!S62</f>
        <v/>
      </c>
      <c r="T65" s="89">
        <f>'CALC ENGINE'!T62</f>
        <v/>
      </c>
    </row>
    <row r="66" ht="18" customHeight="1">
      <c r="B66" s="85" t="n">
        <v>61</v>
      </c>
      <c r="C66" s="86">
        <f>'CALC ENGINE'!B63</f>
        <v/>
      </c>
      <c r="D66" s="86">
        <f>'CALC ENGINE'!C63</f>
        <v/>
      </c>
      <c r="E66" s="86">
        <f>'CALC ENGINE'!D63</f>
        <v/>
      </c>
      <c r="F66" s="87">
        <f>'CALC ENGINE'!E63</f>
        <v/>
      </c>
      <c r="G66" s="87">
        <f>'CALC ENGINE'!F63</f>
        <v/>
      </c>
      <c r="H66" s="87">
        <f>'CALC ENGINE'!G63</f>
        <v/>
      </c>
      <c r="I66" s="86">
        <f>'CALC ENGINE'!H63</f>
        <v/>
      </c>
      <c r="J66" s="87">
        <f>'CALC ENGINE'!I63</f>
        <v/>
      </c>
      <c r="K66" s="87">
        <f>'CALC ENGINE'!J63</f>
        <v/>
      </c>
      <c r="L66" s="87">
        <f>'CALC ENGINE'!K63</f>
        <v/>
      </c>
      <c r="M66" s="87">
        <f>'CALC ENGINE'!M63</f>
        <v/>
      </c>
      <c r="N66" s="87">
        <f>'CALC ENGINE'!N63</f>
        <v/>
      </c>
      <c r="O66" s="87">
        <f>'CALC ENGINE'!O63</f>
        <v/>
      </c>
      <c r="P66" s="87">
        <f>'CALC ENGINE'!P63</f>
        <v/>
      </c>
      <c r="Q66" s="87">
        <f>'CALC ENGINE'!Q63</f>
        <v/>
      </c>
      <c r="R66" s="87">
        <f>'CALC ENGINE'!R63</f>
        <v/>
      </c>
      <c r="S66" s="86">
        <f>'CALC ENGINE'!S63</f>
        <v/>
      </c>
      <c r="T66" s="87">
        <f>'CALC ENGINE'!T63</f>
        <v/>
      </c>
    </row>
    <row r="67" ht="18" customHeight="1">
      <c r="B67" s="85" t="n">
        <v>62</v>
      </c>
      <c r="C67" s="88">
        <f>'CALC ENGINE'!B64</f>
        <v/>
      </c>
      <c r="D67" s="88">
        <f>'CALC ENGINE'!C64</f>
        <v/>
      </c>
      <c r="E67" s="88">
        <f>'CALC ENGINE'!D64</f>
        <v/>
      </c>
      <c r="F67" s="89">
        <f>'CALC ENGINE'!E64</f>
        <v/>
      </c>
      <c r="G67" s="89">
        <f>'CALC ENGINE'!F64</f>
        <v/>
      </c>
      <c r="H67" s="89">
        <f>'CALC ENGINE'!G64</f>
        <v/>
      </c>
      <c r="I67" s="88">
        <f>'CALC ENGINE'!H64</f>
        <v/>
      </c>
      <c r="J67" s="89">
        <f>'CALC ENGINE'!I64</f>
        <v/>
      </c>
      <c r="K67" s="89">
        <f>'CALC ENGINE'!J64</f>
        <v/>
      </c>
      <c r="L67" s="89">
        <f>'CALC ENGINE'!K64</f>
        <v/>
      </c>
      <c r="M67" s="89">
        <f>'CALC ENGINE'!M64</f>
        <v/>
      </c>
      <c r="N67" s="89">
        <f>'CALC ENGINE'!N64</f>
        <v/>
      </c>
      <c r="O67" s="89">
        <f>'CALC ENGINE'!O64</f>
        <v/>
      </c>
      <c r="P67" s="89">
        <f>'CALC ENGINE'!P64</f>
        <v/>
      </c>
      <c r="Q67" s="89">
        <f>'CALC ENGINE'!Q64</f>
        <v/>
      </c>
      <c r="R67" s="89">
        <f>'CALC ENGINE'!R64</f>
        <v/>
      </c>
      <c r="S67" s="88">
        <f>'CALC ENGINE'!S64</f>
        <v/>
      </c>
      <c r="T67" s="89">
        <f>'CALC ENGINE'!T64</f>
        <v/>
      </c>
    </row>
    <row r="68" ht="18" customHeight="1">
      <c r="B68" s="85" t="n">
        <v>63</v>
      </c>
      <c r="C68" s="86">
        <f>'CALC ENGINE'!B65</f>
        <v/>
      </c>
      <c r="D68" s="86">
        <f>'CALC ENGINE'!C65</f>
        <v/>
      </c>
      <c r="E68" s="86">
        <f>'CALC ENGINE'!D65</f>
        <v/>
      </c>
      <c r="F68" s="87">
        <f>'CALC ENGINE'!E65</f>
        <v/>
      </c>
      <c r="G68" s="87">
        <f>'CALC ENGINE'!F65</f>
        <v/>
      </c>
      <c r="H68" s="87">
        <f>'CALC ENGINE'!G65</f>
        <v/>
      </c>
      <c r="I68" s="86">
        <f>'CALC ENGINE'!H65</f>
        <v/>
      </c>
      <c r="J68" s="87">
        <f>'CALC ENGINE'!I65</f>
        <v/>
      </c>
      <c r="K68" s="87">
        <f>'CALC ENGINE'!J65</f>
        <v/>
      </c>
      <c r="L68" s="87">
        <f>'CALC ENGINE'!K65</f>
        <v/>
      </c>
      <c r="M68" s="87">
        <f>'CALC ENGINE'!M65</f>
        <v/>
      </c>
      <c r="N68" s="87">
        <f>'CALC ENGINE'!N65</f>
        <v/>
      </c>
      <c r="O68" s="87">
        <f>'CALC ENGINE'!O65</f>
        <v/>
      </c>
      <c r="P68" s="87">
        <f>'CALC ENGINE'!P65</f>
        <v/>
      </c>
      <c r="Q68" s="87">
        <f>'CALC ENGINE'!Q65</f>
        <v/>
      </c>
      <c r="R68" s="87">
        <f>'CALC ENGINE'!R65</f>
        <v/>
      </c>
      <c r="S68" s="86">
        <f>'CALC ENGINE'!S65</f>
        <v/>
      </c>
      <c r="T68" s="87">
        <f>'CALC ENGINE'!T65</f>
        <v/>
      </c>
    </row>
    <row r="69" ht="18" customHeight="1">
      <c r="B69" s="85" t="n">
        <v>64</v>
      </c>
      <c r="C69" s="88">
        <f>'CALC ENGINE'!B66</f>
        <v/>
      </c>
      <c r="D69" s="88">
        <f>'CALC ENGINE'!C66</f>
        <v/>
      </c>
      <c r="E69" s="88">
        <f>'CALC ENGINE'!D66</f>
        <v/>
      </c>
      <c r="F69" s="89">
        <f>'CALC ENGINE'!E66</f>
        <v/>
      </c>
      <c r="G69" s="89">
        <f>'CALC ENGINE'!F66</f>
        <v/>
      </c>
      <c r="H69" s="89">
        <f>'CALC ENGINE'!G66</f>
        <v/>
      </c>
      <c r="I69" s="88">
        <f>'CALC ENGINE'!H66</f>
        <v/>
      </c>
      <c r="J69" s="89">
        <f>'CALC ENGINE'!I66</f>
        <v/>
      </c>
      <c r="K69" s="89">
        <f>'CALC ENGINE'!J66</f>
        <v/>
      </c>
      <c r="L69" s="89">
        <f>'CALC ENGINE'!K66</f>
        <v/>
      </c>
      <c r="M69" s="89">
        <f>'CALC ENGINE'!M66</f>
        <v/>
      </c>
      <c r="N69" s="89">
        <f>'CALC ENGINE'!N66</f>
        <v/>
      </c>
      <c r="O69" s="89">
        <f>'CALC ENGINE'!O66</f>
        <v/>
      </c>
      <c r="P69" s="89">
        <f>'CALC ENGINE'!P66</f>
        <v/>
      </c>
      <c r="Q69" s="89">
        <f>'CALC ENGINE'!Q66</f>
        <v/>
      </c>
      <c r="R69" s="89">
        <f>'CALC ENGINE'!R66</f>
        <v/>
      </c>
      <c r="S69" s="88">
        <f>'CALC ENGINE'!S66</f>
        <v/>
      </c>
      <c r="T69" s="89">
        <f>'CALC ENGINE'!T66</f>
        <v/>
      </c>
    </row>
    <row r="70" ht="18" customHeight="1">
      <c r="B70" s="85" t="n">
        <v>65</v>
      </c>
      <c r="C70" s="86">
        <f>'CALC ENGINE'!B67</f>
        <v/>
      </c>
      <c r="D70" s="86">
        <f>'CALC ENGINE'!C67</f>
        <v/>
      </c>
      <c r="E70" s="86">
        <f>'CALC ENGINE'!D67</f>
        <v/>
      </c>
      <c r="F70" s="87">
        <f>'CALC ENGINE'!E67</f>
        <v/>
      </c>
      <c r="G70" s="87">
        <f>'CALC ENGINE'!F67</f>
        <v/>
      </c>
      <c r="H70" s="87">
        <f>'CALC ENGINE'!G67</f>
        <v/>
      </c>
      <c r="I70" s="86">
        <f>'CALC ENGINE'!H67</f>
        <v/>
      </c>
      <c r="J70" s="87">
        <f>'CALC ENGINE'!I67</f>
        <v/>
      </c>
      <c r="K70" s="87">
        <f>'CALC ENGINE'!J67</f>
        <v/>
      </c>
      <c r="L70" s="87">
        <f>'CALC ENGINE'!K67</f>
        <v/>
      </c>
      <c r="M70" s="87">
        <f>'CALC ENGINE'!M67</f>
        <v/>
      </c>
      <c r="N70" s="87">
        <f>'CALC ENGINE'!N67</f>
        <v/>
      </c>
      <c r="O70" s="87">
        <f>'CALC ENGINE'!O67</f>
        <v/>
      </c>
      <c r="P70" s="87">
        <f>'CALC ENGINE'!P67</f>
        <v/>
      </c>
      <c r="Q70" s="87">
        <f>'CALC ENGINE'!Q67</f>
        <v/>
      </c>
      <c r="R70" s="87">
        <f>'CALC ENGINE'!R67</f>
        <v/>
      </c>
      <c r="S70" s="86">
        <f>'CALC ENGINE'!S67</f>
        <v/>
      </c>
      <c r="T70" s="87">
        <f>'CALC ENGINE'!T67</f>
        <v/>
      </c>
    </row>
    <row r="71" ht="18" customHeight="1">
      <c r="B71" s="85" t="n">
        <v>66</v>
      </c>
      <c r="C71" s="88">
        <f>'CALC ENGINE'!B68</f>
        <v/>
      </c>
      <c r="D71" s="88">
        <f>'CALC ENGINE'!C68</f>
        <v/>
      </c>
      <c r="E71" s="88">
        <f>'CALC ENGINE'!D68</f>
        <v/>
      </c>
      <c r="F71" s="89">
        <f>'CALC ENGINE'!E68</f>
        <v/>
      </c>
      <c r="G71" s="89">
        <f>'CALC ENGINE'!F68</f>
        <v/>
      </c>
      <c r="H71" s="89">
        <f>'CALC ENGINE'!G68</f>
        <v/>
      </c>
      <c r="I71" s="88">
        <f>'CALC ENGINE'!H68</f>
        <v/>
      </c>
      <c r="J71" s="89">
        <f>'CALC ENGINE'!I68</f>
        <v/>
      </c>
      <c r="K71" s="89">
        <f>'CALC ENGINE'!J68</f>
        <v/>
      </c>
      <c r="L71" s="89">
        <f>'CALC ENGINE'!K68</f>
        <v/>
      </c>
      <c r="M71" s="89">
        <f>'CALC ENGINE'!M68</f>
        <v/>
      </c>
      <c r="N71" s="89">
        <f>'CALC ENGINE'!N68</f>
        <v/>
      </c>
      <c r="O71" s="89">
        <f>'CALC ENGINE'!O68</f>
        <v/>
      </c>
      <c r="P71" s="89">
        <f>'CALC ENGINE'!P68</f>
        <v/>
      </c>
      <c r="Q71" s="89">
        <f>'CALC ENGINE'!Q68</f>
        <v/>
      </c>
      <c r="R71" s="89">
        <f>'CALC ENGINE'!R68</f>
        <v/>
      </c>
      <c r="S71" s="88">
        <f>'CALC ENGINE'!S68</f>
        <v/>
      </c>
      <c r="T71" s="89">
        <f>'CALC ENGINE'!T68</f>
        <v/>
      </c>
    </row>
    <row r="72" ht="18" customHeight="1">
      <c r="B72" s="85" t="n">
        <v>67</v>
      </c>
      <c r="C72" s="86">
        <f>'CALC ENGINE'!B69</f>
        <v/>
      </c>
      <c r="D72" s="86">
        <f>'CALC ENGINE'!C69</f>
        <v/>
      </c>
      <c r="E72" s="86">
        <f>'CALC ENGINE'!D69</f>
        <v/>
      </c>
      <c r="F72" s="87">
        <f>'CALC ENGINE'!E69</f>
        <v/>
      </c>
      <c r="G72" s="87">
        <f>'CALC ENGINE'!F69</f>
        <v/>
      </c>
      <c r="H72" s="87">
        <f>'CALC ENGINE'!G69</f>
        <v/>
      </c>
      <c r="I72" s="86">
        <f>'CALC ENGINE'!H69</f>
        <v/>
      </c>
      <c r="J72" s="87">
        <f>'CALC ENGINE'!I69</f>
        <v/>
      </c>
      <c r="K72" s="87">
        <f>'CALC ENGINE'!J69</f>
        <v/>
      </c>
      <c r="L72" s="87">
        <f>'CALC ENGINE'!K69</f>
        <v/>
      </c>
      <c r="M72" s="87">
        <f>'CALC ENGINE'!M69</f>
        <v/>
      </c>
      <c r="N72" s="87">
        <f>'CALC ENGINE'!N69</f>
        <v/>
      </c>
      <c r="O72" s="87">
        <f>'CALC ENGINE'!O69</f>
        <v/>
      </c>
      <c r="P72" s="87">
        <f>'CALC ENGINE'!P69</f>
        <v/>
      </c>
      <c r="Q72" s="87">
        <f>'CALC ENGINE'!Q69</f>
        <v/>
      </c>
      <c r="R72" s="87">
        <f>'CALC ENGINE'!R69</f>
        <v/>
      </c>
      <c r="S72" s="86">
        <f>'CALC ENGINE'!S69</f>
        <v/>
      </c>
      <c r="T72" s="87">
        <f>'CALC ENGINE'!T69</f>
        <v/>
      </c>
    </row>
    <row r="73" ht="18" customHeight="1">
      <c r="B73" s="85" t="n">
        <v>68</v>
      </c>
      <c r="C73" s="88">
        <f>'CALC ENGINE'!B70</f>
        <v/>
      </c>
      <c r="D73" s="88">
        <f>'CALC ENGINE'!C70</f>
        <v/>
      </c>
      <c r="E73" s="88">
        <f>'CALC ENGINE'!D70</f>
        <v/>
      </c>
      <c r="F73" s="89">
        <f>'CALC ENGINE'!E70</f>
        <v/>
      </c>
      <c r="G73" s="89">
        <f>'CALC ENGINE'!F70</f>
        <v/>
      </c>
      <c r="H73" s="89">
        <f>'CALC ENGINE'!G70</f>
        <v/>
      </c>
      <c r="I73" s="88">
        <f>'CALC ENGINE'!H70</f>
        <v/>
      </c>
      <c r="J73" s="89">
        <f>'CALC ENGINE'!I70</f>
        <v/>
      </c>
      <c r="K73" s="89">
        <f>'CALC ENGINE'!J70</f>
        <v/>
      </c>
      <c r="L73" s="89">
        <f>'CALC ENGINE'!K70</f>
        <v/>
      </c>
      <c r="M73" s="89">
        <f>'CALC ENGINE'!M70</f>
        <v/>
      </c>
      <c r="N73" s="89">
        <f>'CALC ENGINE'!N70</f>
        <v/>
      </c>
      <c r="O73" s="89">
        <f>'CALC ENGINE'!O70</f>
        <v/>
      </c>
      <c r="P73" s="89">
        <f>'CALC ENGINE'!P70</f>
        <v/>
      </c>
      <c r="Q73" s="89">
        <f>'CALC ENGINE'!Q70</f>
        <v/>
      </c>
      <c r="R73" s="89">
        <f>'CALC ENGINE'!R70</f>
        <v/>
      </c>
      <c r="S73" s="88">
        <f>'CALC ENGINE'!S70</f>
        <v/>
      </c>
      <c r="T73" s="89">
        <f>'CALC ENGINE'!T70</f>
        <v/>
      </c>
    </row>
    <row r="74" ht="18" customHeight="1">
      <c r="B74" s="85" t="n">
        <v>69</v>
      </c>
      <c r="C74" s="86">
        <f>'CALC ENGINE'!B71</f>
        <v/>
      </c>
      <c r="D74" s="86">
        <f>'CALC ENGINE'!C71</f>
        <v/>
      </c>
      <c r="E74" s="86">
        <f>'CALC ENGINE'!D71</f>
        <v/>
      </c>
      <c r="F74" s="87">
        <f>'CALC ENGINE'!E71</f>
        <v/>
      </c>
      <c r="G74" s="87">
        <f>'CALC ENGINE'!F71</f>
        <v/>
      </c>
      <c r="H74" s="87">
        <f>'CALC ENGINE'!G71</f>
        <v/>
      </c>
      <c r="I74" s="86">
        <f>'CALC ENGINE'!H71</f>
        <v/>
      </c>
      <c r="J74" s="87">
        <f>'CALC ENGINE'!I71</f>
        <v/>
      </c>
      <c r="K74" s="87">
        <f>'CALC ENGINE'!J71</f>
        <v/>
      </c>
      <c r="L74" s="87">
        <f>'CALC ENGINE'!K71</f>
        <v/>
      </c>
      <c r="M74" s="87">
        <f>'CALC ENGINE'!M71</f>
        <v/>
      </c>
      <c r="N74" s="87">
        <f>'CALC ENGINE'!N71</f>
        <v/>
      </c>
      <c r="O74" s="87">
        <f>'CALC ENGINE'!O71</f>
        <v/>
      </c>
      <c r="P74" s="87">
        <f>'CALC ENGINE'!P71</f>
        <v/>
      </c>
      <c r="Q74" s="87">
        <f>'CALC ENGINE'!Q71</f>
        <v/>
      </c>
      <c r="R74" s="87">
        <f>'CALC ENGINE'!R71</f>
        <v/>
      </c>
      <c r="S74" s="86">
        <f>'CALC ENGINE'!S71</f>
        <v/>
      </c>
      <c r="T74" s="87">
        <f>'CALC ENGINE'!T71</f>
        <v/>
      </c>
    </row>
    <row r="75" ht="18" customHeight="1">
      <c r="B75" s="85" t="n">
        <v>70</v>
      </c>
      <c r="C75" s="88">
        <f>'CALC ENGINE'!B72</f>
        <v/>
      </c>
      <c r="D75" s="88">
        <f>'CALC ENGINE'!C72</f>
        <v/>
      </c>
      <c r="E75" s="88">
        <f>'CALC ENGINE'!D72</f>
        <v/>
      </c>
      <c r="F75" s="89">
        <f>'CALC ENGINE'!E72</f>
        <v/>
      </c>
      <c r="G75" s="89">
        <f>'CALC ENGINE'!F72</f>
        <v/>
      </c>
      <c r="H75" s="89">
        <f>'CALC ENGINE'!G72</f>
        <v/>
      </c>
      <c r="I75" s="88">
        <f>'CALC ENGINE'!H72</f>
        <v/>
      </c>
      <c r="J75" s="89">
        <f>'CALC ENGINE'!I72</f>
        <v/>
      </c>
      <c r="K75" s="89">
        <f>'CALC ENGINE'!J72</f>
        <v/>
      </c>
      <c r="L75" s="89">
        <f>'CALC ENGINE'!K72</f>
        <v/>
      </c>
      <c r="M75" s="89">
        <f>'CALC ENGINE'!M72</f>
        <v/>
      </c>
      <c r="N75" s="89">
        <f>'CALC ENGINE'!N72</f>
        <v/>
      </c>
      <c r="O75" s="89">
        <f>'CALC ENGINE'!O72</f>
        <v/>
      </c>
      <c r="P75" s="89">
        <f>'CALC ENGINE'!P72</f>
        <v/>
      </c>
      <c r="Q75" s="89">
        <f>'CALC ENGINE'!Q72</f>
        <v/>
      </c>
      <c r="R75" s="89">
        <f>'CALC ENGINE'!R72</f>
        <v/>
      </c>
      <c r="S75" s="88">
        <f>'CALC ENGINE'!S72</f>
        <v/>
      </c>
      <c r="T75" s="89">
        <f>'CALC ENGINE'!T72</f>
        <v/>
      </c>
    </row>
    <row r="76" ht="18" customHeight="1">
      <c r="B76" s="85" t="n">
        <v>71</v>
      </c>
      <c r="C76" s="86">
        <f>'CALC ENGINE'!B73</f>
        <v/>
      </c>
      <c r="D76" s="86">
        <f>'CALC ENGINE'!C73</f>
        <v/>
      </c>
      <c r="E76" s="86">
        <f>'CALC ENGINE'!D73</f>
        <v/>
      </c>
      <c r="F76" s="87">
        <f>'CALC ENGINE'!E73</f>
        <v/>
      </c>
      <c r="G76" s="87">
        <f>'CALC ENGINE'!F73</f>
        <v/>
      </c>
      <c r="H76" s="87">
        <f>'CALC ENGINE'!G73</f>
        <v/>
      </c>
      <c r="I76" s="86">
        <f>'CALC ENGINE'!H73</f>
        <v/>
      </c>
      <c r="J76" s="87">
        <f>'CALC ENGINE'!I73</f>
        <v/>
      </c>
      <c r="K76" s="87">
        <f>'CALC ENGINE'!J73</f>
        <v/>
      </c>
      <c r="L76" s="87">
        <f>'CALC ENGINE'!K73</f>
        <v/>
      </c>
      <c r="M76" s="87">
        <f>'CALC ENGINE'!M73</f>
        <v/>
      </c>
      <c r="N76" s="87">
        <f>'CALC ENGINE'!N73</f>
        <v/>
      </c>
      <c r="O76" s="87">
        <f>'CALC ENGINE'!O73</f>
        <v/>
      </c>
      <c r="P76" s="87">
        <f>'CALC ENGINE'!P73</f>
        <v/>
      </c>
      <c r="Q76" s="87">
        <f>'CALC ENGINE'!Q73</f>
        <v/>
      </c>
      <c r="R76" s="87">
        <f>'CALC ENGINE'!R73</f>
        <v/>
      </c>
      <c r="S76" s="86">
        <f>'CALC ENGINE'!S73</f>
        <v/>
      </c>
      <c r="T76" s="87">
        <f>'CALC ENGINE'!T73</f>
        <v/>
      </c>
    </row>
    <row r="77" ht="18" customHeight="1">
      <c r="B77" s="85" t="n">
        <v>72</v>
      </c>
      <c r="C77" s="88">
        <f>'CALC ENGINE'!B74</f>
        <v/>
      </c>
      <c r="D77" s="88">
        <f>'CALC ENGINE'!C74</f>
        <v/>
      </c>
      <c r="E77" s="88">
        <f>'CALC ENGINE'!D74</f>
        <v/>
      </c>
      <c r="F77" s="89">
        <f>'CALC ENGINE'!E74</f>
        <v/>
      </c>
      <c r="G77" s="89">
        <f>'CALC ENGINE'!F74</f>
        <v/>
      </c>
      <c r="H77" s="89">
        <f>'CALC ENGINE'!G74</f>
        <v/>
      </c>
      <c r="I77" s="88">
        <f>'CALC ENGINE'!H74</f>
        <v/>
      </c>
      <c r="J77" s="89">
        <f>'CALC ENGINE'!I74</f>
        <v/>
      </c>
      <c r="K77" s="89">
        <f>'CALC ENGINE'!J74</f>
        <v/>
      </c>
      <c r="L77" s="89">
        <f>'CALC ENGINE'!K74</f>
        <v/>
      </c>
      <c r="M77" s="89">
        <f>'CALC ENGINE'!M74</f>
        <v/>
      </c>
      <c r="N77" s="89">
        <f>'CALC ENGINE'!N74</f>
        <v/>
      </c>
      <c r="O77" s="89">
        <f>'CALC ENGINE'!O74</f>
        <v/>
      </c>
      <c r="P77" s="89">
        <f>'CALC ENGINE'!P74</f>
        <v/>
      </c>
      <c r="Q77" s="89">
        <f>'CALC ENGINE'!Q74</f>
        <v/>
      </c>
      <c r="R77" s="89">
        <f>'CALC ENGINE'!R74</f>
        <v/>
      </c>
      <c r="S77" s="88">
        <f>'CALC ENGINE'!S74</f>
        <v/>
      </c>
      <c r="T77" s="89">
        <f>'CALC ENGINE'!T74</f>
        <v/>
      </c>
    </row>
    <row r="78" ht="18" customHeight="1">
      <c r="B78" s="85" t="n">
        <v>73</v>
      </c>
      <c r="C78" s="86">
        <f>'CALC ENGINE'!B75</f>
        <v/>
      </c>
      <c r="D78" s="86">
        <f>'CALC ENGINE'!C75</f>
        <v/>
      </c>
      <c r="E78" s="86">
        <f>'CALC ENGINE'!D75</f>
        <v/>
      </c>
      <c r="F78" s="87">
        <f>'CALC ENGINE'!E75</f>
        <v/>
      </c>
      <c r="G78" s="87">
        <f>'CALC ENGINE'!F75</f>
        <v/>
      </c>
      <c r="H78" s="87">
        <f>'CALC ENGINE'!G75</f>
        <v/>
      </c>
      <c r="I78" s="86">
        <f>'CALC ENGINE'!H75</f>
        <v/>
      </c>
      <c r="J78" s="87">
        <f>'CALC ENGINE'!I75</f>
        <v/>
      </c>
      <c r="K78" s="87">
        <f>'CALC ENGINE'!J75</f>
        <v/>
      </c>
      <c r="L78" s="87">
        <f>'CALC ENGINE'!K75</f>
        <v/>
      </c>
      <c r="M78" s="87">
        <f>'CALC ENGINE'!M75</f>
        <v/>
      </c>
      <c r="N78" s="87">
        <f>'CALC ENGINE'!N75</f>
        <v/>
      </c>
      <c r="O78" s="87">
        <f>'CALC ENGINE'!O75</f>
        <v/>
      </c>
      <c r="P78" s="87">
        <f>'CALC ENGINE'!P75</f>
        <v/>
      </c>
      <c r="Q78" s="87">
        <f>'CALC ENGINE'!Q75</f>
        <v/>
      </c>
      <c r="R78" s="87">
        <f>'CALC ENGINE'!R75</f>
        <v/>
      </c>
      <c r="S78" s="86">
        <f>'CALC ENGINE'!S75</f>
        <v/>
      </c>
      <c r="T78" s="87">
        <f>'CALC ENGINE'!T75</f>
        <v/>
      </c>
    </row>
    <row r="79" ht="18" customHeight="1">
      <c r="B79" s="85" t="n">
        <v>74</v>
      </c>
      <c r="C79" s="88">
        <f>'CALC ENGINE'!B76</f>
        <v/>
      </c>
      <c r="D79" s="88">
        <f>'CALC ENGINE'!C76</f>
        <v/>
      </c>
      <c r="E79" s="88">
        <f>'CALC ENGINE'!D76</f>
        <v/>
      </c>
      <c r="F79" s="89">
        <f>'CALC ENGINE'!E76</f>
        <v/>
      </c>
      <c r="G79" s="89">
        <f>'CALC ENGINE'!F76</f>
        <v/>
      </c>
      <c r="H79" s="89">
        <f>'CALC ENGINE'!G76</f>
        <v/>
      </c>
      <c r="I79" s="88">
        <f>'CALC ENGINE'!H76</f>
        <v/>
      </c>
      <c r="J79" s="89">
        <f>'CALC ENGINE'!I76</f>
        <v/>
      </c>
      <c r="K79" s="89">
        <f>'CALC ENGINE'!J76</f>
        <v/>
      </c>
      <c r="L79" s="89">
        <f>'CALC ENGINE'!K76</f>
        <v/>
      </c>
      <c r="M79" s="89">
        <f>'CALC ENGINE'!M76</f>
        <v/>
      </c>
      <c r="N79" s="89">
        <f>'CALC ENGINE'!N76</f>
        <v/>
      </c>
      <c r="O79" s="89">
        <f>'CALC ENGINE'!O76</f>
        <v/>
      </c>
      <c r="P79" s="89">
        <f>'CALC ENGINE'!P76</f>
        <v/>
      </c>
      <c r="Q79" s="89">
        <f>'CALC ENGINE'!Q76</f>
        <v/>
      </c>
      <c r="R79" s="89">
        <f>'CALC ENGINE'!R76</f>
        <v/>
      </c>
      <c r="S79" s="88">
        <f>'CALC ENGINE'!S76</f>
        <v/>
      </c>
      <c r="T79" s="89">
        <f>'CALC ENGINE'!T76</f>
        <v/>
      </c>
    </row>
    <row r="80" ht="18" customHeight="1">
      <c r="B80" s="85" t="n">
        <v>75</v>
      </c>
      <c r="C80" s="86">
        <f>'CALC ENGINE'!B77</f>
        <v/>
      </c>
      <c r="D80" s="86">
        <f>'CALC ENGINE'!C77</f>
        <v/>
      </c>
      <c r="E80" s="86">
        <f>'CALC ENGINE'!D77</f>
        <v/>
      </c>
      <c r="F80" s="87">
        <f>'CALC ENGINE'!E77</f>
        <v/>
      </c>
      <c r="G80" s="87">
        <f>'CALC ENGINE'!F77</f>
        <v/>
      </c>
      <c r="H80" s="87">
        <f>'CALC ENGINE'!G77</f>
        <v/>
      </c>
      <c r="I80" s="86">
        <f>'CALC ENGINE'!H77</f>
        <v/>
      </c>
      <c r="J80" s="87">
        <f>'CALC ENGINE'!I77</f>
        <v/>
      </c>
      <c r="K80" s="87">
        <f>'CALC ENGINE'!J77</f>
        <v/>
      </c>
      <c r="L80" s="87">
        <f>'CALC ENGINE'!K77</f>
        <v/>
      </c>
      <c r="M80" s="87">
        <f>'CALC ENGINE'!M77</f>
        <v/>
      </c>
      <c r="N80" s="87">
        <f>'CALC ENGINE'!N77</f>
        <v/>
      </c>
      <c r="O80" s="87">
        <f>'CALC ENGINE'!O77</f>
        <v/>
      </c>
      <c r="P80" s="87">
        <f>'CALC ENGINE'!P77</f>
        <v/>
      </c>
      <c r="Q80" s="87">
        <f>'CALC ENGINE'!Q77</f>
        <v/>
      </c>
      <c r="R80" s="87">
        <f>'CALC ENGINE'!R77</f>
        <v/>
      </c>
      <c r="S80" s="86">
        <f>'CALC ENGINE'!S77</f>
        <v/>
      </c>
      <c r="T80" s="87">
        <f>'CALC ENGINE'!T77</f>
        <v/>
      </c>
    </row>
    <row r="81" ht="18" customHeight="1">
      <c r="B81" s="85" t="n">
        <v>76</v>
      </c>
      <c r="C81" s="88">
        <f>'CALC ENGINE'!B78</f>
        <v/>
      </c>
      <c r="D81" s="88">
        <f>'CALC ENGINE'!C78</f>
        <v/>
      </c>
      <c r="E81" s="88">
        <f>'CALC ENGINE'!D78</f>
        <v/>
      </c>
      <c r="F81" s="89">
        <f>'CALC ENGINE'!E78</f>
        <v/>
      </c>
      <c r="G81" s="89">
        <f>'CALC ENGINE'!F78</f>
        <v/>
      </c>
      <c r="H81" s="89">
        <f>'CALC ENGINE'!G78</f>
        <v/>
      </c>
      <c r="I81" s="88">
        <f>'CALC ENGINE'!H78</f>
        <v/>
      </c>
      <c r="J81" s="89">
        <f>'CALC ENGINE'!I78</f>
        <v/>
      </c>
      <c r="K81" s="89">
        <f>'CALC ENGINE'!J78</f>
        <v/>
      </c>
      <c r="L81" s="89">
        <f>'CALC ENGINE'!K78</f>
        <v/>
      </c>
      <c r="M81" s="89">
        <f>'CALC ENGINE'!M78</f>
        <v/>
      </c>
      <c r="N81" s="89">
        <f>'CALC ENGINE'!N78</f>
        <v/>
      </c>
      <c r="O81" s="89">
        <f>'CALC ENGINE'!O78</f>
        <v/>
      </c>
      <c r="P81" s="89">
        <f>'CALC ENGINE'!P78</f>
        <v/>
      </c>
      <c r="Q81" s="89">
        <f>'CALC ENGINE'!Q78</f>
        <v/>
      </c>
      <c r="R81" s="89">
        <f>'CALC ENGINE'!R78</f>
        <v/>
      </c>
      <c r="S81" s="88">
        <f>'CALC ENGINE'!S78</f>
        <v/>
      </c>
      <c r="T81" s="89">
        <f>'CALC ENGINE'!T78</f>
        <v/>
      </c>
    </row>
    <row r="82" ht="18" customHeight="1">
      <c r="B82" s="85" t="n">
        <v>77</v>
      </c>
      <c r="C82" s="86">
        <f>'CALC ENGINE'!B79</f>
        <v/>
      </c>
      <c r="D82" s="86">
        <f>'CALC ENGINE'!C79</f>
        <v/>
      </c>
      <c r="E82" s="86">
        <f>'CALC ENGINE'!D79</f>
        <v/>
      </c>
      <c r="F82" s="87">
        <f>'CALC ENGINE'!E79</f>
        <v/>
      </c>
      <c r="G82" s="87">
        <f>'CALC ENGINE'!F79</f>
        <v/>
      </c>
      <c r="H82" s="87">
        <f>'CALC ENGINE'!G79</f>
        <v/>
      </c>
      <c r="I82" s="86">
        <f>'CALC ENGINE'!H79</f>
        <v/>
      </c>
      <c r="J82" s="87">
        <f>'CALC ENGINE'!I79</f>
        <v/>
      </c>
      <c r="K82" s="87">
        <f>'CALC ENGINE'!J79</f>
        <v/>
      </c>
      <c r="L82" s="87">
        <f>'CALC ENGINE'!K79</f>
        <v/>
      </c>
      <c r="M82" s="87">
        <f>'CALC ENGINE'!M79</f>
        <v/>
      </c>
      <c r="N82" s="87">
        <f>'CALC ENGINE'!N79</f>
        <v/>
      </c>
      <c r="O82" s="87">
        <f>'CALC ENGINE'!O79</f>
        <v/>
      </c>
      <c r="P82" s="87">
        <f>'CALC ENGINE'!P79</f>
        <v/>
      </c>
      <c r="Q82" s="87">
        <f>'CALC ENGINE'!Q79</f>
        <v/>
      </c>
      <c r="R82" s="87">
        <f>'CALC ENGINE'!R79</f>
        <v/>
      </c>
      <c r="S82" s="86">
        <f>'CALC ENGINE'!S79</f>
        <v/>
      </c>
      <c r="T82" s="87">
        <f>'CALC ENGINE'!T79</f>
        <v/>
      </c>
    </row>
    <row r="83" ht="18" customHeight="1">
      <c r="B83" s="85" t="n">
        <v>78</v>
      </c>
      <c r="C83" s="88">
        <f>'CALC ENGINE'!B80</f>
        <v/>
      </c>
      <c r="D83" s="88">
        <f>'CALC ENGINE'!C80</f>
        <v/>
      </c>
      <c r="E83" s="88">
        <f>'CALC ENGINE'!D80</f>
        <v/>
      </c>
      <c r="F83" s="89">
        <f>'CALC ENGINE'!E80</f>
        <v/>
      </c>
      <c r="G83" s="89">
        <f>'CALC ENGINE'!F80</f>
        <v/>
      </c>
      <c r="H83" s="89">
        <f>'CALC ENGINE'!G80</f>
        <v/>
      </c>
      <c r="I83" s="88">
        <f>'CALC ENGINE'!H80</f>
        <v/>
      </c>
      <c r="J83" s="89">
        <f>'CALC ENGINE'!I80</f>
        <v/>
      </c>
      <c r="K83" s="89">
        <f>'CALC ENGINE'!J80</f>
        <v/>
      </c>
      <c r="L83" s="89">
        <f>'CALC ENGINE'!K80</f>
        <v/>
      </c>
      <c r="M83" s="89">
        <f>'CALC ENGINE'!M80</f>
        <v/>
      </c>
      <c r="N83" s="89">
        <f>'CALC ENGINE'!N80</f>
        <v/>
      </c>
      <c r="O83" s="89">
        <f>'CALC ENGINE'!O80</f>
        <v/>
      </c>
      <c r="P83" s="89">
        <f>'CALC ENGINE'!P80</f>
        <v/>
      </c>
      <c r="Q83" s="89">
        <f>'CALC ENGINE'!Q80</f>
        <v/>
      </c>
      <c r="R83" s="89">
        <f>'CALC ENGINE'!R80</f>
        <v/>
      </c>
      <c r="S83" s="88">
        <f>'CALC ENGINE'!S80</f>
        <v/>
      </c>
      <c r="T83" s="89">
        <f>'CALC ENGINE'!T80</f>
        <v/>
      </c>
    </row>
    <row r="84" ht="18" customHeight="1">
      <c r="B84" s="85" t="n">
        <v>79</v>
      </c>
      <c r="C84" s="86">
        <f>'CALC ENGINE'!B81</f>
        <v/>
      </c>
      <c r="D84" s="86">
        <f>'CALC ENGINE'!C81</f>
        <v/>
      </c>
      <c r="E84" s="86">
        <f>'CALC ENGINE'!D81</f>
        <v/>
      </c>
      <c r="F84" s="87">
        <f>'CALC ENGINE'!E81</f>
        <v/>
      </c>
      <c r="G84" s="87">
        <f>'CALC ENGINE'!F81</f>
        <v/>
      </c>
      <c r="H84" s="87">
        <f>'CALC ENGINE'!G81</f>
        <v/>
      </c>
      <c r="I84" s="86">
        <f>'CALC ENGINE'!H81</f>
        <v/>
      </c>
      <c r="J84" s="87">
        <f>'CALC ENGINE'!I81</f>
        <v/>
      </c>
      <c r="K84" s="87">
        <f>'CALC ENGINE'!J81</f>
        <v/>
      </c>
      <c r="L84" s="87">
        <f>'CALC ENGINE'!K81</f>
        <v/>
      </c>
      <c r="M84" s="87">
        <f>'CALC ENGINE'!M81</f>
        <v/>
      </c>
      <c r="N84" s="87">
        <f>'CALC ENGINE'!N81</f>
        <v/>
      </c>
      <c r="O84" s="87">
        <f>'CALC ENGINE'!O81</f>
        <v/>
      </c>
      <c r="P84" s="87">
        <f>'CALC ENGINE'!P81</f>
        <v/>
      </c>
      <c r="Q84" s="87">
        <f>'CALC ENGINE'!Q81</f>
        <v/>
      </c>
      <c r="R84" s="87">
        <f>'CALC ENGINE'!R81</f>
        <v/>
      </c>
      <c r="S84" s="86">
        <f>'CALC ENGINE'!S81</f>
        <v/>
      </c>
      <c r="T84" s="87">
        <f>'CALC ENGINE'!T81</f>
        <v/>
      </c>
    </row>
    <row r="85" ht="18" customHeight="1">
      <c r="B85" s="85" t="n">
        <v>80</v>
      </c>
      <c r="C85" s="88">
        <f>'CALC ENGINE'!B82</f>
        <v/>
      </c>
      <c r="D85" s="88">
        <f>'CALC ENGINE'!C82</f>
        <v/>
      </c>
      <c r="E85" s="88">
        <f>'CALC ENGINE'!D82</f>
        <v/>
      </c>
      <c r="F85" s="89">
        <f>'CALC ENGINE'!E82</f>
        <v/>
      </c>
      <c r="G85" s="89">
        <f>'CALC ENGINE'!F82</f>
        <v/>
      </c>
      <c r="H85" s="89">
        <f>'CALC ENGINE'!G82</f>
        <v/>
      </c>
      <c r="I85" s="88">
        <f>'CALC ENGINE'!H82</f>
        <v/>
      </c>
      <c r="J85" s="89">
        <f>'CALC ENGINE'!I82</f>
        <v/>
      </c>
      <c r="K85" s="89">
        <f>'CALC ENGINE'!J82</f>
        <v/>
      </c>
      <c r="L85" s="89">
        <f>'CALC ENGINE'!K82</f>
        <v/>
      </c>
      <c r="M85" s="89">
        <f>'CALC ENGINE'!M82</f>
        <v/>
      </c>
      <c r="N85" s="89">
        <f>'CALC ENGINE'!N82</f>
        <v/>
      </c>
      <c r="O85" s="89">
        <f>'CALC ENGINE'!O82</f>
        <v/>
      </c>
      <c r="P85" s="89">
        <f>'CALC ENGINE'!P82</f>
        <v/>
      </c>
      <c r="Q85" s="89">
        <f>'CALC ENGINE'!Q82</f>
        <v/>
      </c>
      <c r="R85" s="89">
        <f>'CALC ENGINE'!R82</f>
        <v/>
      </c>
      <c r="S85" s="88">
        <f>'CALC ENGINE'!S82</f>
        <v/>
      </c>
      <c r="T85" s="89">
        <f>'CALC ENGINE'!T82</f>
        <v/>
      </c>
    </row>
  </sheetData>
  <autoFilter ref="B5:T85"/>
  <mergeCells count="7">
    <mergeCell ref="G4:H4"/>
    <mergeCell ref="E4:F4"/>
    <mergeCell ref="I4:J4"/>
    <mergeCell ref="B1:T1"/>
    <mergeCell ref="K4:L4"/>
    <mergeCell ref="B2:T2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M29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6" customWidth="1" min="4" max="4"/>
    <col width="26" customWidth="1" min="5" max="5"/>
    <col width="8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 ht="30" customHeight="1">
      <c r="B1" s="101" t="inlineStr">
        <is>
          <t>COMMUTE ANALYSIS  |  Drive time and distance impact for each matched position</t>
        </is>
      </c>
    </row>
    <row r="2" ht="20" customHeight="1">
      <c r="B2" s="60">
        <f>"Home City: "&amp;'MY PROFILE'!C10&amp;"   |  Max Commute: "&amp;'MY PROFILE'!G10&amp;"   |  Positions showing: All 80 — filter by MATCH LABEL or VACANCY"</f>
        <v/>
      </c>
    </row>
    <row r="4" ht="18" customHeight="1">
      <c r="C4" s="102" t="inlineStr">
        <is>
          <t>SHORT  (≤30 min)</t>
        </is>
      </c>
      <c r="E4" s="103" t="inlineStr">
        <is>
          <t>MEDIUM (31–90 min)</t>
        </is>
      </c>
      <c r="G4" s="104" t="inlineStr">
        <is>
          <t>LONG   (91–180 min)</t>
        </is>
      </c>
      <c r="I4" s="105" t="inlineStr">
        <is>
          <t>VERY LONG (&gt;180 min)</t>
        </is>
      </c>
      <c r="K4" s="102" t="inlineStr">
        <is>
          <t>SAME CITY</t>
        </is>
      </c>
    </row>
    <row r="5" ht="36" customHeight="1">
      <c r="B5" s="24" t="inlineStr">
        <is>
          <t>#</t>
        </is>
      </c>
      <c r="C5" s="24" t="inlineStr">
        <is>
          <t>Unit</t>
        </is>
      </c>
      <c r="D5" s="24" t="inlineStr">
        <is>
          <t>Position City</t>
        </is>
      </c>
      <c r="E5" s="24" t="inlineStr">
        <is>
          <t>Duty Title</t>
        </is>
      </c>
      <c r="F5" s="24" t="inlineStr">
        <is>
          <t>Grade</t>
        </is>
      </c>
      <c r="G5" s="24" t="inlineStr">
        <is>
          <t>One-Way
(min)</t>
        </is>
      </c>
      <c r="H5" s="24" t="inlineStr">
        <is>
          <t>One-Way
(miles approx)</t>
        </is>
      </c>
      <c r="I5" s="24" t="inlineStr">
        <is>
          <t>Round Trip
(min)</t>
        </is>
      </c>
      <c r="J5" s="24" t="inlineStr">
        <is>
          <t>Drill WE
(4 legs, hrs)</t>
        </is>
      </c>
      <c r="K5" s="24" t="inlineStr">
        <is>
          <t>Within
Max?</t>
        </is>
      </c>
      <c r="L5" s="24" t="inlineStr">
        <is>
          <t>Commute
Category</t>
        </is>
      </c>
      <c r="M5" s="24" t="inlineStr">
        <is>
          <t>Match
Label</t>
        </is>
      </c>
    </row>
    <row r="6" ht="17" customHeight="1">
      <c r="B6" s="106" t="n">
        <v>1</v>
      </c>
      <c r="C6" s="107">
        <f>'CALC ENGINE'!B3</f>
        <v/>
      </c>
      <c r="D6" s="107">
        <f>'CALC ENGINE'!C3</f>
        <v/>
      </c>
      <c r="E6" s="107">
        <f>'CALC ENGINE'!D3</f>
        <v/>
      </c>
      <c r="F6" s="107">
        <f>'CALC ENGINE'!E3</f>
        <v/>
      </c>
      <c r="G6" s="108">
        <f>'CALC ENGINE'!T3</f>
        <v/>
      </c>
      <c r="H6" s="109">
        <f>IFERROR(SUMPRODUCT(($A$201:$A$293='MY PROFILE'!C10)*($B$201:$B$293=C6)*($C$201:$C$293)),0)</f>
        <v/>
      </c>
      <c r="I6" s="109">
        <f>IF(G6=999,"",G6*2)</f>
        <v/>
      </c>
      <c r="J6" s="109">
        <f>IF(G6=999,"",ROUND(G6*4/60,1)&amp;" hrs")</f>
        <v/>
      </c>
      <c r="K6" s="108">
        <f>IF(G6=999,"Unknown",IF('MY PROFILE'!G10="No Limit","Yes",IF('MY PROFILE'!G10="30 Minutes",IF(G6&lt;=30,"Yes","No"),IF('MY PROFILE'!G10="1 Hour",IF(G6&lt;=60,"Yes","No"),IF('MY PROFILE'!G10="1.5 Hours",IF(G6&lt;=90,"Yes","No"),IF('MY PROFILE'!G10="2 Hours",IF(G6&lt;=120,"Yes","No"),IF('MY PROFILE'!G10="3 Hours",IF(G6&lt;=180,"Yes","No"),"No")))))))</f>
        <v/>
      </c>
      <c r="L6" s="108">
        <f>IF(G6=0,"Same City",IF(G6&lt;=30,"Short",IF(G6&lt;=90,"Medium",IF(G6&lt;=180,"Long","Very Long"))))</f>
        <v/>
      </c>
      <c r="M6" s="108">
        <f>'CALC ENGINE'!S3</f>
        <v/>
      </c>
    </row>
    <row r="7" ht="17" customHeight="1">
      <c r="B7" s="106" t="n">
        <v>2</v>
      </c>
      <c r="C7" s="110">
        <f>'CALC ENGINE'!B4</f>
        <v/>
      </c>
      <c r="D7" s="110">
        <f>'CALC ENGINE'!C4</f>
        <v/>
      </c>
      <c r="E7" s="110">
        <f>'CALC ENGINE'!D4</f>
        <v/>
      </c>
      <c r="F7" s="110">
        <f>'CALC ENGINE'!E4</f>
        <v/>
      </c>
      <c r="G7" s="111">
        <f>'CALC ENGINE'!T4</f>
        <v/>
      </c>
      <c r="H7" s="112">
        <f>IFERROR(SUMPRODUCT(($A$201:$A$293='MY PROFILE'!C10)*($B$201:$B$293=C7)*($C$201:$C$293)),0)</f>
        <v/>
      </c>
      <c r="I7" s="112">
        <f>IF(G7=999,"",G7*2)</f>
        <v/>
      </c>
      <c r="J7" s="112">
        <f>IF(G7=999,"",ROUND(G7*4/60,1)&amp;" hrs")</f>
        <v/>
      </c>
      <c r="K7" s="111">
        <f>IF(G7=999,"Unknown",IF('MY PROFILE'!G10="No Limit","Yes",IF('MY PROFILE'!G10="30 Minutes",IF(G7&lt;=30,"Yes","No"),IF('MY PROFILE'!G10="1 Hour",IF(G7&lt;=60,"Yes","No"),IF('MY PROFILE'!G10="1.5 Hours",IF(G7&lt;=90,"Yes","No"),IF('MY PROFILE'!G10="2 Hours",IF(G7&lt;=120,"Yes","No"),IF('MY PROFILE'!G10="3 Hours",IF(G7&lt;=180,"Yes","No"),"No")))))))</f>
        <v/>
      </c>
      <c r="L7" s="111">
        <f>IF(G7=0,"Same City",IF(G7&lt;=30,"Short",IF(G7&lt;=90,"Medium",IF(G7&lt;=180,"Long","Very Long"))))</f>
        <v/>
      </c>
      <c r="M7" s="111">
        <f>'CALC ENGINE'!S4</f>
        <v/>
      </c>
    </row>
    <row r="8" ht="17" customHeight="1">
      <c r="B8" s="106" t="n">
        <v>3</v>
      </c>
      <c r="C8" s="107">
        <f>'CALC ENGINE'!B5</f>
        <v/>
      </c>
      <c r="D8" s="107">
        <f>'CALC ENGINE'!C5</f>
        <v/>
      </c>
      <c r="E8" s="107">
        <f>'CALC ENGINE'!D5</f>
        <v/>
      </c>
      <c r="F8" s="107">
        <f>'CALC ENGINE'!E5</f>
        <v/>
      </c>
      <c r="G8" s="108">
        <f>'CALC ENGINE'!T5</f>
        <v/>
      </c>
      <c r="H8" s="109">
        <f>IFERROR(SUMPRODUCT(($A$201:$A$293='MY PROFILE'!C10)*($B$201:$B$293=C8)*($C$201:$C$293)),0)</f>
        <v/>
      </c>
      <c r="I8" s="109">
        <f>IF(G8=999,"",G8*2)</f>
        <v/>
      </c>
      <c r="J8" s="109">
        <f>IF(G8=999,"",ROUND(G8*4/60,1)&amp;" hrs")</f>
        <v/>
      </c>
      <c r="K8" s="108">
        <f>IF(G8=999,"Unknown",IF('MY PROFILE'!G10="No Limit","Yes",IF('MY PROFILE'!G10="30 Minutes",IF(G8&lt;=30,"Yes","No"),IF('MY PROFILE'!G10="1 Hour",IF(G8&lt;=60,"Yes","No"),IF('MY PROFILE'!G10="1.5 Hours",IF(G8&lt;=90,"Yes","No"),IF('MY PROFILE'!G10="2 Hours",IF(G8&lt;=120,"Yes","No"),IF('MY PROFILE'!G10="3 Hours",IF(G8&lt;=180,"Yes","No"),"No")))))))</f>
        <v/>
      </c>
      <c r="L8" s="108">
        <f>IF(G8=0,"Same City",IF(G8&lt;=30,"Short",IF(G8&lt;=90,"Medium",IF(G8&lt;=180,"Long","Very Long"))))</f>
        <v/>
      </c>
      <c r="M8" s="108">
        <f>'CALC ENGINE'!S5</f>
        <v/>
      </c>
    </row>
    <row r="9" ht="17" customHeight="1">
      <c r="B9" s="106" t="n">
        <v>4</v>
      </c>
      <c r="C9" s="110">
        <f>'CALC ENGINE'!B6</f>
        <v/>
      </c>
      <c r="D9" s="110">
        <f>'CALC ENGINE'!C6</f>
        <v/>
      </c>
      <c r="E9" s="110">
        <f>'CALC ENGINE'!D6</f>
        <v/>
      </c>
      <c r="F9" s="110">
        <f>'CALC ENGINE'!E6</f>
        <v/>
      </c>
      <c r="G9" s="111">
        <f>'CALC ENGINE'!T6</f>
        <v/>
      </c>
      <c r="H9" s="112">
        <f>IFERROR(SUMPRODUCT(($A$201:$A$293='MY PROFILE'!C10)*($B$201:$B$293=C9)*($C$201:$C$293)),0)</f>
        <v/>
      </c>
      <c r="I9" s="112">
        <f>IF(G9=999,"",G9*2)</f>
        <v/>
      </c>
      <c r="J9" s="112">
        <f>IF(G9=999,"",ROUND(G9*4/60,1)&amp;" hrs")</f>
        <v/>
      </c>
      <c r="K9" s="111">
        <f>IF(G9=999,"Unknown",IF('MY PROFILE'!G10="No Limit","Yes",IF('MY PROFILE'!G10="30 Minutes",IF(G9&lt;=30,"Yes","No"),IF('MY PROFILE'!G10="1 Hour",IF(G9&lt;=60,"Yes","No"),IF('MY PROFILE'!G10="1.5 Hours",IF(G9&lt;=90,"Yes","No"),IF('MY PROFILE'!G10="2 Hours",IF(G9&lt;=120,"Yes","No"),IF('MY PROFILE'!G10="3 Hours",IF(G9&lt;=180,"Yes","No"),"No")))))))</f>
        <v/>
      </c>
      <c r="L9" s="111">
        <f>IF(G9=0,"Same City",IF(G9&lt;=30,"Short",IF(G9&lt;=90,"Medium",IF(G9&lt;=180,"Long","Very Long"))))</f>
        <v/>
      </c>
      <c r="M9" s="111">
        <f>'CALC ENGINE'!S6</f>
        <v/>
      </c>
    </row>
    <row r="10" ht="17" customHeight="1">
      <c r="B10" s="106" t="n">
        <v>5</v>
      </c>
      <c r="C10" s="107">
        <f>'CALC ENGINE'!B7</f>
        <v/>
      </c>
      <c r="D10" s="107">
        <f>'CALC ENGINE'!C7</f>
        <v/>
      </c>
      <c r="E10" s="107">
        <f>'CALC ENGINE'!D7</f>
        <v/>
      </c>
      <c r="F10" s="107">
        <f>'CALC ENGINE'!E7</f>
        <v/>
      </c>
      <c r="G10" s="108">
        <f>'CALC ENGINE'!T7</f>
        <v/>
      </c>
      <c r="H10" s="109">
        <f>IFERROR(SUMPRODUCT(($A$201:$A$293='MY PROFILE'!C10)*($B$201:$B$293=C10)*($C$201:$C$293)),0)</f>
        <v/>
      </c>
      <c r="I10" s="109">
        <f>IF(G10=999,"",G10*2)</f>
        <v/>
      </c>
      <c r="J10" s="109">
        <f>IF(G10=999,"",ROUND(G10*4/60,1)&amp;" hrs")</f>
        <v/>
      </c>
      <c r="K10" s="108">
        <f>IF(G10=999,"Unknown",IF('MY PROFILE'!G10="No Limit","Yes",IF('MY PROFILE'!G10="30 Minutes",IF(G10&lt;=30,"Yes","No"),IF('MY PROFILE'!G10="1 Hour",IF(G10&lt;=60,"Yes","No"),IF('MY PROFILE'!G10="1.5 Hours",IF(G10&lt;=90,"Yes","No"),IF('MY PROFILE'!G10="2 Hours",IF(G10&lt;=120,"Yes","No"),IF('MY PROFILE'!G10="3 Hours",IF(G10&lt;=180,"Yes","No"),"No")))))))</f>
        <v/>
      </c>
      <c r="L10" s="108">
        <f>IF(G10=0,"Same City",IF(G10&lt;=30,"Short",IF(G10&lt;=90,"Medium",IF(G10&lt;=180,"Long","Very Long"))))</f>
        <v/>
      </c>
      <c r="M10" s="108">
        <f>'CALC ENGINE'!S7</f>
        <v/>
      </c>
    </row>
    <row r="11" ht="17" customHeight="1">
      <c r="B11" s="106" t="n">
        <v>6</v>
      </c>
      <c r="C11" s="110">
        <f>'CALC ENGINE'!B8</f>
        <v/>
      </c>
      <c r="D11" s="110">
        <f>'CALC ENGINE'!C8</f>
        <v/>
      </c>
      <c r="E11" s="110">
        <f>'CALC ENGINE'!D8</f>
        <v/>
      </c>
      <c r="F11" s="110">
        <f>'CALC ENGINE'!E8</f>
        <v/>
      </c>
      <c r="G11" s="111">
        <f>'CALC ENGINE'!T8</f>
        <v/>
      </c>
      <c r="H11" s="112">
        <f>IFERROR(SUMPRODUCT(($A$201:$A$293='MY PROFILE'!C10)*($B$201:$B$293=C11)*($C$201:$C$293)),0)</f>
        <v/>
      </c>
      <c r="I11" s="112">
        <f>IF(G11=999,"",G11*2)</f>
        <v/>
      </c>
      <c r="J11" s="112">
        <f>IF(G11=999,"",ROUND(G11*4/60,1)&amp;" hrs")</f>
        <v/>
      </c>
      <c r="K11" s="111">
        <f>IF(G11=999,"Unknown",IF('MY PROFILE'!G10="No Limit","Yes",IF('MY PROFILE'!G10="30 Minutes",IF(G11&lt;=30,"Yes","No"),IF('MY PROFILE'!G10="1 Hour",IF(G11&lt;=60,"Yes","No"),IF('MY PROFILE'!G10="1.5 Hours",IF(G11&lt;=90,"Yes","No"),IF('MY PROFILE'!G10="2 Hours",IF(G11&lt;=120,"Yes","No"),IF('MY PROFILE'!G10="3 Hours",IF(G11&lt;=180,"Yes","No"),"No")))))))</f>
        <v/>
      </c>
      <c r="L11" s="111">
        <f>IF(G11=0,"Same City",IF(G11&lt;=30,"Short",IF(G11&lt;=90,"Medium",IF(G11&lt;=180,"Long","Very Long"))))</f>
        <v/>
      </c>
      <c r="M11" s="111">
        <f>'CALC ENGINE'!S8</f>
        <v/>
      </c>
    </row>
    <row r="12" ht="17" customHeight="1">
      <c r="B12" s="106" t="n">
        <v>7</v>
      </c>
      <c r="C12" s="107">
        <f>'CALC ENGINE'!B9</f>
        <v/>
      </c>
      <c r="D12" s="107">
        <f>'CALC ENGINE'!C9</f>
        <v/>
      </c>
      <c r="E12" s="107">
        <f>'CALC ENGINE'!D9</f>
        <v/>
      </c>
      <c r="F12" s="107">
        <f>'CALC ENGINE'!E9</f>
        <v/>
      </c>
      <c r="G12" s="108">
        <f>'CALC ENGINE'!T9</f>
        <v/>
      </c>
      <c r="H12" s="109">
        <f>IFERROR(SUMPRODUCT(($A$201:$A$293='MY PROFILE'!C10)*($B$201:$B$293=C12)*($C$201:$C$293)),0)</f>
        <v/>
      </c>
      <c r="I12" s="109">
        <f>IF(G12=999,"",G12*2)</f>
        <v/>
      </c>
      <c r="J12" s="109">
        <f>IF(G12=999,"",ROUND(G12*4/60,1)&amp;" hrs")</f>
        <v/>
      </c>
      <c r="K12" s="108">
        <f>IF(G12=999,"Unknown",IF('MY PROFILE'!G10="No Limit","Yes",IF('MY PROFILE'!G10="30 Minutes",IF(G12&lt;=30,"Yes","No"),IF('MY PROFILE'!G10="1 Hour",IF(G12&lt;=60,"Yes","No"),IF('MY PROFILE'!G10="1.5 Hours",IF(G12&lt;=90,"Yes","No"),IF('MY PROFILE'!G10="2 Hours",IF(G12&lt;=120,"Yes","No"),IF('MY PROFILE'!G10="3 Hours",IF(G12&lt;=180,"Yes","No"),"No")))))))</f>
        <v/>
      </c>
      <c r="L12" s="108">
        <f>IF(G12=0,"Same City",IF(G12&lt;=30,"Short",IF(G12&lt;=90,"Medium",IF(G12&lt;=180,"Long","Very Long"))))</f>
        <v/>
      </c>
      <c r="M12" s="108">
        <f>'CALC ENGINE'!S9</f>
        <v/>
      </c>
    </row>
    <row r="13" ht="17" customHeight="1">
      <c r="B13" s="106" t="n">
        <v>8</v>
      </c>
      <c r="C13" s="110">
        <f>'CALC ENGINE'!B10</f>
        <v/>
      </c>
      <c r="D13" s="110">
        <f>'CALC ENGINE'!C10</f>
        <v/>
      </c>
      <c r="E13" s="110">
        <f>'CALC ENGINE'!D10</f>
        <v/>
      </c>
      <c r="F13" s="110">
        <f>'CALC ENGINE'!E10</f>
        <v/>
      </c>
      <c r="G13" s="111">
        <f>'CALC ENGINE'!T10</f>
        <v/>
      </c>
      <c r="H13" s="112">
        <f>IFERROR(SUMPRODUCT(($A$201:$A$293='MY PROFILE'!C10)*($B$201:$B$293=C13)*($C$201:$C$293)),0)</f>
        <v/>
      </c>
      <c r="I13" s="112">
        <f>IF(G13=999,"",G13*2)</f>
        <v/>
      </c>
      <c r="J13" s="112">
        <f>IF(G13=999,"",ROUND(G13*4/60,1)&amp;" hrs")</f>
        <v/>
      </c>
      <c r="K13" s="111">
        <f>IF(G13=999,"Unknown",IF('MY PROFILE'!G10="No Limit","Yes",IF('MY PROFILE'!G10="30 Minutes",IF(G13&lt;=30,"Yes","No"),IF('MY PROFILE'!G10="1 Hour",IF(G13&lt;=60,"Yes","No"),IF('MY PROFILE'!G10="1.5 Hours",IF(G13&lt;=90,"Yes","No"),IF('MY PROFILE'!G10="2 Hours",IF(G13&lt;=120,"Yes","No"),IF('MY PROFILE'!G10="3 Hours",IF(G13&lt;=180,"Yes","No"),"No")))))))</f>
        <v/>
      </c>
      <c r="L13" s="111">
        <f>IF(G13=0,"Same City",IF(G13&lt;=30,"Short",IF(G13&lt;=90,"Medium",IF(G13&lt;=180,"Long","Very Long"))))</f>
        <v/>
      </c>
      <c r="M13" s="111">
        <f>'CALC ENGINE'!S10</f>
        <v/>
      </c>
    </row>
    <row r="14" ht="17" customHeight="1">
      <c r="B14" s="106" t="n">
        <v>9</v>
      </c>
      <c r="C14" s="107">
        <f>'CALC ENGINE'!B11</f>
        <v/>
      </c>
      <c r="D14" s="107">
        <f>'CALC ENGINE'!C11</f>
        <v/>
      </c>
      <c r="E14" s="107">
        <f>'CALC ENGINE'!D11</f>
        <v/>
      </c>
      <c r="F14" s="107">
        <f>'CALC ENGINE'!E11</f>
        <v/>
      </c>
      <c r="G14" s="108">
        <f>'CALC ENGINE'!T11</f>
        <v/>
      </c>
      <c r="H14" s="109">
        <f>IFERROR(SUMPRODUCT(($A$201:$A$293='MY PROFILE'!C10)*($B$201:$B$293=C14)*($C$201:$C$293)),0)</f>
        <v/>
      </c>
      <c r="I14" s="109">
        <f>IF(G14=999,"",G14*2)</f>
        <v/>
      </c>
      <c r="J14" s="109">
        <f>IF(G14=999,"",ROUND(G14*4/60,1)&amp;" hrs")</f>
        <v/>
      </c>
      <c r="K14" s="108">
        <f>IF(G14=999,"Unknown",IF('MY PROFILE'!G10="No Limit","Yes",IF('MY PROFILE'!G10="30 Minutes",IF(G14&lt;=30,"Yes","No"),IF('MY PROFILE'!G10="1 Hour",IF(G14&lt;=60,"Yes","No"),IF('MY PROFILE'!G10="1.5 Hours",IF(G14&lt;=90,"Yes","No"),IF('MY PROFILE'!G10="2 Hours",IF(G14&lt;=120,"Yes","No"),IF('MY PROFILE'!G10="3 Hours",IF(G14&lt;=180,"Yes","No"),"No")))))))</f>
        <v/>
      </c>
      <c r="L14" s="108">
        <f>IF(G14=0,"Same City",IF(G14&lt;=30,"Short",IF(G14&lt;=90,"Medium",IF(G14&lt;=180,"Long","Very Long"))))</f>
        <v/>
      </c>
      <c r="M14" s="108">
        <f>'CALC ENGINE'!S11</f>
        <v/>
      </c>
    </row>
    <row r="15" ht="17" customHeight="1">
      <c r="B15" s="106" t="n">
        <v>10</v>
      </c>
      <c r="C15" s="110">
        <f>'CALC ENGINE'!B12</f>
        <v/>
      </c>
      <c r="D15" s="110">
        <f>'CALC ENGINE'!C12</f>
        <v/>
      </c>
      <c r="E15" s="110">
        <f>'CALC ENGINE'!D12</f>
        <v/>
      </c>
      <c r="F15" s="110">
        <f>'CALC ENGINE'!E12</f>
        <v/>
      </c>
      <c r="G15" s="111">
        <f>'CALC ENGINE'!T12</f>
        <v/>
      </c>
      <c r="H15" s="112">
        <f>IFERROR(SUMPRODUCT(($A$201:$A$293='MY PROFILE'!C10)*($B$201:$B$293=C15)*($C$201:$C$293)),0)</f>
        <v/>
      </c>
      <c r="I15" s="112">
        <f>IF(G15=999,"",G15*2)</f>
        <v/>
      </c>
      <c r="J15" s="112">
        <f>IF(G15=999,"",ROUND(G15*4/60,1)&amp;" hrs")</f>
        <v/>
      </c>
      <c r="K15" s="111">
        <f>IF(G15=999,"Unknown",IF('MY PROFILE'!G10="No Limit","Yes",IF('MY PROFILE'!G10="30 Minutes",IF(G15&lt;=30,"Yes","No"),IF('MY PROFILE'!G10="1 Hour",IF(G15&lt;=60,"Yes","No"),IF('MY PROFILE'!G10="1.5 Hours",IF(G15&lt;=90,"Yes","No"),IF('MY PROFILE'!G10="2 Hours",IF(G15&lt;=120,"Yes","No"),IF('MY PROFILE'!G10="3 Hours",IF(G15&lt;=180,"Yes","No"),"No")))))))</f>
        <v/>
      </c>
      <c r="L15" s="111">
        <f>IF(G15=0,"Same City",IF(G15&lt;=30,"Short",IF(G15&lt;=90,"Medium",IF(G15&lt;=180,"Long","Very Long"))))</f>
        <v/>
      </c>
      <c r="M15" s="111">
        <f>'CALC ENGINE'!S12</f>
        <v/>
      </c>
    </row>
    <row r="16" ht="17" customHeight="1">
      <c r="B16" s="106" t="n">
        <v>11</v>
      </c>
      <c r="C16" s="107">
        <f>'CALC ENGINE'!B13</f>
        <v/>
      </c>
      <c r="D16" s="107">
        <f>'CALC ENGINE'!C13</f>
        <v/>
      </c>
      <c r="E16" s="107">
        <f>'CALC ENGINE'!D13</f>
        <v/>
      </c>
      <c r="F16" s="107">
        <f>'CALC ENGINE'!E13</f>
        <v/>
      </c>
      <c r="G16" s="108">
        <f>'CALC ENGINE'!T13</f>
        <v/>
      </c>
      <c r="H16" s="109">
        <f>IFERROR(SUMPRODUCT(($A$201:$A$293='MY PROFILE'!C10)*($B$201:$B$293=C16)*($C$201:$C$293)),0)</f>
        <v/>
      </c>
      <c r="I16" s="109">
        <f>IF(G16=999,"",G16*2)</f>
        <v/>
      </c>
      <c r="J16" s="109">
        <f>IF(G16=999,"",ROUND(G16*4/60,1)&amp;" hrs")</f>
        <v/>
      </c>
      <c r="K16" s="108">
        <f>IF(G16=999,"Unknown",IF('MY PROFILE'!G10="No Limit","Yes",IF('MY PROFILE'!G10="30 Minutes",IF(G16&lt;=30,"Yes","No"),IF('MY PROFILE'!G10="1 Hour",IF(G16&lt;=60,"Yes","No"),IF('MY PROFILE'!G10="1.5 Hours",IF(G16&lt;=90,"Yes","No"),IF('MY PROFILE'!G10="2 Hours",IF(G16&lt;=120,"Yes","No"),IF('MY PROFILE'!G10="3 Hours",IF(G16&lt;=180,"Yes","No"),"No")))))))</f>
        <v/>
      </c>
      <c r="L16" s="108">
        <f>IF(G16=0,"Same City",IF(G16&lt;=30,"Short",IF(G16&lt;=90,"Medium",IF(G16&lt;=180,"Long","Very Long"))))</f>
        <v/>
      </c>
      <c r="M16" s="108">
        <f>'CALC ENGINE'!S13</f>
        <v/>
      </c>
    </row>
    <row r="17" ht="17" customHeight="1">
      <c r="B17" s="106" t="n">
        <v>12</v>
      </c>
      <c r="C17" s="110">
        <f>'CALC ENGINE'!B14</f>
        <v/>
      </c>
      <c r="D17" s="110">
        <f>'CALC ENGINE'!C14</f>
        <v/>
      </c>
      <c r="E17" s="110">
        <f>'CALC ENGINE'!D14</f>
        <v/>
      </c>
      <c r="F17" s="110">
        <f>'CALC ENGINE'!E14</f>
        <v/>
      </c>
      <c r="G17" s="111">
        <f>'CALC ENGINE'!T14</f>
        <v/>
      </c>
      <c r="H17" s="112">
        <f>IFERROR(SUMPRODUCT(($A$201:$A$293='MY PROFILE'!C10)*($B$201:$B$293=C17)*($C$201:$C$293)),0)</f>
        <v/>
      </c>
      <c r="I17" s="112">
        <f>IF(G17=999,"",G17*2)</f>
        <v/>
      </c>
      <c r="J17" s="112">
        <f>IF(G17=999,"",ROUND(G17*4/60,1)&amp;" hrs")</f>
        <v/>
      </c>
      <c r="K17" s="111">
        <f>IF(G17=999,"Unknown",IF('MY PROFILE'!G10="No Limit","Yes",IF('MY PROFILE'!G10="30 Minutes",IF(G17&lt;=30,"Yes","No"),IF('MY PROFILE'!G10="1 Hour",IF(G17&lt;=60,"Yes","No"),IF('MY PROFILE'!G10="1.5 Hours",IF(G17&lt;=90,"Yes","No"),IF('MY PROFILE'!G10="2 Hours",IF(G17&lt;=120,"Yes","No"),IF('MY PROFILE'!G10="3 Hours",IF(G17&lt;=180,"Yes","No"),"No")))))))</f>
        <v/>
      </c>
      <c r="L17" s="111">
        <f>IF(G17=0,"Same City",IF(G17&lt;=30,"Short",IF(G17&lt;=90,"Medium",IF(G17&lt;=180,"Long","Very Long"))))</f>
        <v/>
      </c>
      <c r="M17" s="111">
        <f>'CALC ENGINE'!S14</f>
        <v/>
      </c>
    </row>
    <row r="18" ht="17" customHeight="1">
      <c r="B18" s="106" t="n">
        <v>13</v>
      </c>
      <c r="C18" s="107">
        <f>'CALC ENGINE'!B15</f>
        <v/>
      </c>
      <c r="D18" s="107">
        <f>'CALC ENGINE'!C15</f>
        <v/>
      </c>
      <c r="E18" s="107">
        <f>'CALC ENGINE'!D15</f>
        <v/>
      </c>
      <c r="F18" s="107">
        <f>'CALC ENGINE'!E15</f>
        <v/>
      </c>
      <c r="G18" s="108">
        <f>'CALC ENGINE'!T15</f>
        <v/>
      </c>
      <c r="H18" s="109">
        <f>IFERROR(SUMPRODUCT(($A$201:$A$293='MY PROFILE'!C10)*($B$201:$B$293=C18)*($C$201:$C$293)),0)</f>
        <v/>
      </c>
      <c r="I18" s="109">
        <f>IF(G18=999,"",G18*2)</f>
        <v/>
      </c>
      <c r="J18" s="109">
        <f>IF(G18=999,"",ROUND(G18*4/60,1)&amp;" hrs")</f>
        <v/>
      </c>
      <c r="K18" s="108">
        <f>IF(G18=999,"Unknown",IF('MY PROFILE'!G10="No Limit","Yes",IF('MY PROFILE'!G10="30 Minutes",IF(G18&lt;=30,"Yes","No"),IF('MY PROFILE'!G10="1 Hour",IF(G18&lt;=60,"Yes","No"),IF('MY PROFILE'!G10="1.5 Hours",IF(G18&lt;=90,"Yes","No"),IF('MY PROFILE'!G10="2 Hours",IF(G18&lt;=120,"Yes","No"),IF('MY PROFILE'!G10="3 Hours",IF(G18&lt;=180,"Yes","No"),"No")))))))</f>
        <v/>
      </c>
      <c r="L18" s="108">
        <f>IF(G18=0,"Same City",IF(G18&lt;=30,"Short",IF(G18&lt;=90,"Medium",IF(G18&lt;=180,"Long","Very Long"))))</f>
        <v/>
      </c>
      <c r="M18" s="108">
        <f>'CALC ENGINE'!S15</f>
        <v/>
      </c>
    </row>
    <row r="19" ht="17" customHeight="1">
      <c r="B19" s="106" t="n">
        <v>14</v>
      </c>
      <c r="C19" s="110">
        <f>'CALC ENGINE'!B16</f>
        <v/>
      </c>
      <c r="D19" s="110">
        <f>'CALC ENGINE'!C16</f>
        <v/>
      </c>
      <c r="E19" s="110">
        <f>'CALC ENGINE'!D16</f>
        <v/>
      </c>
      <c r="F19" s="110">
        <f>'CALC ENGINE'!E16</f>
        <v/>
      </c>
      <c r="G19" s="111">
        <f>'CALC ENGINE'!T16</f>
        <v/>
      </c>
      <c r="H19" s="112">
        <f>IFERROR(SUMPRODUCT(($A$201:$A$293='MY PROFILE'!C10)*($B$201:$B$293=C19)*($C$201:$C$293)),0)</f>
        <v/>
      </c>
      <c r="I19" s="112">
        <f>IF(G19=999,"",G19*2)</f>
        <v/>
      </c>
      <c r="J19" s="112">
        <f>IF(G19=999,"",ROUND(G19*4/60,1)&amp;" hrs")</f>
        <v/>
      </c>
      <c r="K19" s="111">
        <f>IF(G19=999,"Unknown",IF('MY PROFILE'!G10="No Limit","Yes",IF('MY PROFILE'!G10="30 Minutes",IF(G19&lt;=30,"Yes","No"),IF('MY PROFILE'!G10="1 Hour",IF(G19&lt;=60,"Yes","No"),IF('MY PROFILE'!G10="1.5 Hours",IF(G19&lt;=90,"Yes","No"),IF('MY PROFILE'!G10="2 Hours",IF(G19&lt;=120,"Yes","No"),IF('MY PROFILE'!G10="3 Hours",IF(G19&lt;=180,"Yes","No"),"No")))))))</f>
        <v/>
      </c>
      <c r="L19" s="111">
        <f>IF(G19=0,"Same City",IF(G19&lt;=30,"Short",IF(G19&lt;=90,"Medium",IF(G19&lt;=180,"Long","Very Long"))))</f>
        <v/>
      </c>
      <c r="M19" s="111">
        <f>'CALC ENGINE'!S16</f>
        <v/>
      </c>
    </row>
    <row r="20" ht="17" customHeight="1">
      <c r="B20" s="106" t="n">
        <v>15</v>
      </c>
      <c r="C20" s="107">
        <f>'CALC ENGINE'!B17</f>
        <v/>
      </c>
      <c r="D20" s="107">
        <f>'CALC ENGINE'!C17</f>
        <v/>
      </c>
      <c r="E20" s="107">
        <f>'CALC ENGINE'!D17</f>
        <v/>
      </c>
      <c r="F20" s="107">
        <f>'CALC ENGINE'!E17</f>
        <v/>
      </c>
      <c r="G20" s="108">
        <f>'CALC ENGINE'!T17</f>
        <v/>
      </c>
      <c r="H20" s="109">
        <f>IFERROR(SUMPRODUCT(($A$201:$A$293='MY PROFILE'!C10)*($B$201:$B$293=C20)*($C$201:$C$293)),0)</f>
        <v/>
      </c>
      <c r="I20" s="109">
        <f>IF(G20=999,"",G20*2)</f>
        <v/>
      </c>
      <c r="J20" s="109">
        <f>IF(G20=999,"",ROUND(G20*4/60,1)&amp;" hrs")</f>
        <v/>
      </c>
      <c r="K20" s="108">
        <f>IF(G20=999,"Unknown",IF('MY PROFILE'!G10="No Limit","Yes",IF('MY PROFILE'!G10="30 Minutes",IF(G20&lt;=30,"Yes","No"),IF('MY PROFILE'!G10="1 Hour",IF(G20&lt;=60,"Yes","No"),IF('MY PROFILE'!G10="1.5 Hours",IF(G20&lt;=90,"Yes","No"),IF('MY PROFILE'!G10="2 Hours",IF(G20&lt;=120,"Yes","No"),IF('MY PROFILE'!G10="3 Hours",IF(G20&lt;=180,"Yes","No"),"No")))))))</f>
        <v/>
      </c>
      <c r="L20" s="108">
        <f>IF(G20=0,"Same City",IF(G20&lt;=30,"Short",IF(G20&lt;=90,"Medium",IF(G20&lt;=180,"Long","Very Long"))))</f>
        <v/>
      </c>
      <c r="M20" s="108">
        <f>'CALC ENGINE'!S17</f>
        <v/>
      </c>
    </row>
    <row r="21" ht="17" customHeight="1">
      <c r="B21" s="106" t="n">
        <v>16</v>
      </c>
      <c r="C21" s="110">
        <f>'CALC ENGINE'!B18</f>
        <v/>
      </c>
      <c r="D21" s="110">
        <f>'CALC ENGINE'!C18</f>
        <v/>
      </c>
      <c r="E21" s="110">
        <f>'CALC ENGINE'!D18</f>
        <v/>
      </c>
      <c r="F21" s="110">
        <f>'CALC ENGINE'!E18</f>
        <v/>
      </c>
      <c r="G21" s="111">
        <f>'CALC ENGINE'!T18</f>
        <v/>
      </c>
      <c r="H21" s="112">
        <f>IFERROR(SUMPRODUCT(($A$201:$A$293='MY PROFILE'!C10)*($B$201:$B$293=C21)*($C$201:$C$293)),0)</f>
        <v/>
      </c>
      <c r="I21" s="112">
        <f>IF(G21=999,"",G21*2)</f>
        <v/>
      </c>
      <c r="J21" s="112">
        <f>IF(G21=999,"",ROUND(G21*4/60,1)&amp;" hrs")</f>
        <v/>
      </c>
      <c r="K21" s="111">
        <f>IF(G21=999,"Unknown",IF('MY PROFILE'!G10="No Limit","Yes",IF('MY PROFILE'!G10="30 Minutes",IF(G21&lt;=30,"Yes","No"),IF('MY PROFILE'!G10="1 Hour",IF(G21&lt;=60,"Yes","No"),IF('MY PROFILE'!G10="1.5 Hours",IF(G21&lt;=90,"Yes","No"),IF('MY PROFILE'!G10="2 Hours",IF(G21&lt;=120,"Yes","No"),IF('MY PROFILE'!G10="3 Hours",IF(G21&lt;=180,"Yes","No"),"No")))))))</f>
        <v/>
      </c>
      <c r="L21" s="111">
        <f>IF(G21=0,"Same City",IF(G21&lt;=30,"Short",IF(G21&lt;=90,"Medium",IF(G21&lt;=180,"Long","Very Long"))))</f>
        <v/>
      </c>
      <c r="M21" s="111">
        <f>'CALC ENGINE'!S18</f>
        <v/>
      </c>
    </row>
    <row r="22" ht="17" customHeight="1">
      <c r="B22" s="106" t="n">
        <v>17</v>
      </c>
      <c r="C22" s="107">
        <f>'CALC ENGINE'!B19</f>
        <v/>
      </c>
      <c r="D22" s="107">
        <f>'CALC ENGINE'!C19</f>
        <v/>
      </c>
      <c r="E22" s="107">
        <f>'CALC ENGINE'!D19</f>
        <v/>
      </c>
      <c r="F22" s="107">
        <f>'CALC ENGINE'!E19</f>
        <v/>
      </c>
      <c r="G22" s="108">
        <f>'CALC ENGINE'!T19</f>
        <v/>
      </c>
      <c r="H22" s="109">
        <f>IFERROR(SUMPRODUCT(($A$201:$A$293='MY PROFILE'!C10)*($B$201:$B$293=C22)*($C$201:$C$293)),0)</f>
        <v/>
      </c>
      <c r="I22" s="109">
        <f>IF(G22=999,"",G22*2)</f>
        <v/>
      </c>
      <c r="J22" s="109">
        <f>IF(G22=999,"",ROUND(G22*4/60,1)&amp;" hrs")</f>
        <v/>
      </c>
      <c r="K22" s="108">
        <f>IF(G22=999,"Unknown",IF('MY PROFILE'!G10="No Limit","Yes",IF('MY PROFILE'!G10="30 Minutes",IF(G22&lt;=30,"Yes","No"),IF('MY PROFILE'!G10="1 Hour",IF(G22&lt;=60,"Yes","No"),IF('MY PROFILE'!G10="1.5 Hours",IF(G22&lt;=90,"Yes","No"),IF('MY PROFILE'!G10="2 Hours",IF(G22&lt;=120,"Yes","No"),IF('MY PROFILE'!G10="3 Hours",IF(G22&lt;=180,"Yes","No"),"No")))))))</f>
        <v/>
      </c>
      <c r="L22" s="108">
        <f>IF(G22=0,"Same City",IF(G22&lt;=30,"Short",IF(G22&lt;=90,"Medium",IF(G22&lt;=180,"Long","Very Long"))))</f>
        <v/>
      </c>
      <c r="M22" s="108">
        <f>'CALC ENGINE'!S19</f>
        <v/>
      </c>
    </row>
    <row r="23" ht="17" customHeight="1">
      <c r="B23" s="106" t="n">
        <v>18</v>
      </c>
      <c r="C23" s="110">
        <f>'CALC ENGINE'!B20</f>
        <v/>
      </c>
      <c r="D23" s="110">
        <f>'CALC ENGINE'!C20</f>
        <v/>
      </c>
      <c r="E23" s="110">
        <f>'CALC ENGINE'!D20</f>
        <v/>
      </c>
      <c r="F23" s="110">
        <f>'CALC ENGINE'!E20</f>
        <v/>
      </c>
      <c r="G23" s="111">
        <f>'CALC ENGINE'!T20</f>
        <v/>
      </c>
      <c r="H23" s="112">
        <f>IFERROR(SUMPRODUCT(($A$201:$A$293='MY PROFILE'!C10)*($B$201:$B$293=C23)*($C$201:$C$293)),0)</f>
        <v/>
      </c>
      <c r="I23" s="112">
        <f>IF(G23=999,"",G23*2)</f>
        <v/>
      </c>
      <c r="J23" s="112">
        <f>IF(G23=999,"",ROUND(G23*4/60,1)&amp;" hrs")</f>
        <v/>
      </c>
      <c r="K23" s="111">
        <f>IF(G23=999,"Unknown",IF('MY PROFILE'!G10="No Limit","Yes",IF('MY PROFILE'!G10="30 Minutes",IF(G23&lt;=30,"Yes","No"),IF('MY PROFILE'!G10="1 Hour",IF(G23&lt;=60,"Yes","No"),IF('MY PROFILE'!G10="1.5 Hours",IF(G23&lt;=90,"Yes","No"),IF('MY PROFILE'!G10="2 Hours",IF(G23&lt;=120,"Yes","No"),IF('MY PROFILE'!G10="3 Hours",IF(G23&lt;=180,"Yes","No"),"No")))))))</f>
        <v/>
      </c>
      <c r="L23" s="111">
        <f>IF(G23=0,"Same City",IF(G23&lt;=30,"Short",IF(G23&lt;=90,"Medium",IF(G23&lt;=180,"Long","Very Long"))))</f>
        <v/>
      </c>
      <c r="M23" s="111">
        <f>'CALC ENGINE'!S20</f>
        <v/>
      </c>
    </row>
    <row r="24" ht="17" customHeight="1">
      <c r="B24" s="106" t="n">
        <v>19</v>
      </c>
      <c r="C24" s="107">
        <f>'CALC ENGINE'!B21</f>
        <v/>
      </c>
      <c r="D24" s="107">
        <f>'CALC ENGINE'!C21</f>
        <v/>
      </c>
      <c r="E24" s="107">
        <f>'CALC ENGINE'!D21</f>
        <v/>
      </c>
      <c r="F24" s="107">
        <f>'CALC ENGINE'!E21</f>
        <v/>
      </c>
      <c r="G24" s="108">
        <f>'CALC ENGINE'!T21</f>
        <v/>
      </c>
      <c r="H24" s="109">
        <f>IFERROR(SUMPRODUCT(($A$201:$A$293='MY PROFILE'!C10)*($B$201:$B$293=C24)*($C$201:$C$293)),0)</f>
        <v/>
      </c>
      <c r="I24" s="109">
        <f>IF(G24=999,"",G24*2)</f>
        <v/>
      </c>
      <c r="J24" s="109">
        <f>IF(G24=999,"",ROUND(G24*4/60,1)&amp;" hrs")</f>
        <v/>
      </c>
      <c r="K24" s="108">
        <f>IF(G24=999,"Unknown",IF('MY PROFILE'!G10="No Limit","Yes",IF('MY PROFILE'!G10="30 Minutes",IF(G24&lt;=30,"Yes","No"),IF('MY PROFILE'!G10="1 Hour",IF(G24&lt;=60,"Yes","No"),IF('MY PROFILE'!G10="1.5 Hours",IF(G24&lt;=90,"Yes","No"),IF('MY PROFILE'!G10="2 Hours",IF(G24&lt;=120,"Yes","No"),IF('MY PROFILE'!G10="3 Hours",IF(G24&lt;=180,"Yes","No"),"No")))))))</f>
        <v/>
      </c>
      <c r="L24" s="108">
        <f>IF(G24=0,"Same City",IF(G24&lt;=30,"Short",IF(G24&lt;=90,"Medium",IF(G24&lt;=180,"Long","Very Long"))))</f>
        <v/>
      </c>
      <c r="M24" s="108">
        <f>'CALC ENGINE'!S21</f>
        <v/>
      </c>
    </row>
    <row r="25" ht="17" customHeight="1">
      <c r="B25" s="106" t="n">
        <v>20</v>
      </c>
      <c r="C25" s="110">
        <f>'CALC ENGINE'!B22</f>
        <v/>
      </c>
      <c r="D25" s="110">
        <f>'CALC ENGINE'!C22</f>
        <v/>
      </c>
      <c r="E25" s="110">
        <f>'CALC ENGINE'!D22</f>
        <v/>
      </c>
      <c r="F25" s="110">
        <f>'CALC ENGINE'!E22</f>
        <v/>
      </c>
      <c r="G25" s="111">
        <f>'CALC ENGINE'!T22</f>
        <v/>
      </c>
      <c r="H25" s="112">
        <f>IFERROR(SUMPRODUCT(($A$201:$A$293='MY PROFILE'!C10)*($B$201:$B$293=C25)*($C$201:$C$293)),0)</f>
        <v/>
      </c>
      <c r="I25" s="112">
        <f>IF(G25=999,"",G25*2)</f>
        <v/>
      </c>
      <c r="J25" s="112">
        <f>IF(G25=999,"",ROUND(G25*4/60,1)&amp;" hrs")</f>
        <v/>
      </c>
      <c r="K25" s="111">
        <f>IF(G25=999,"Unknown",IF('MY PROFILE'!G10="No Limit","Yes",IF('MY PROFILE'!G10="30 Minutes",IF(G25&lt;=30,"Yes","No"),IF('MY PROFILE'!G10="1 Hour",IF(G25&lt;=60,"Yes","No"),IF('MY PROFILE'!G10="1.5 Hours",IF(G25&lt;=90,"Yes","No"),IF('MY PROFILE'!G10="2 Hours",IF(G25&lt;=120,"Yes","No"),IF('MY PROFILE'!G10="3 Hours",IF(G25&lt;=180,"Yes","No"),"No")))))))</f>
        <v/>
      </c>
      <c r="L25" s="111">
        <f>IF(G25=0,"Same City",IF(G25&lt;=30,"Short",IF(G25&lt;=90,"Medium",IF(G25&lt;=180,"Long","Very Long"))))</f>
        <v/>
      </c>
      <c r="M25" s="111">
        <f>'CALC ENGINE'!S22</f>
        <v/>
      </c>
    </row>
    <row r="26" ht="17" customHeight="1">
      <c r="B26" s="106" t="n">
        <v>21</v>
      </c>
      <c r="C26" s="107">
        <f>'CALC ENGINE'!B23</f>
        <v/>
      </c>
      <c r="D26" s="107">
        <f>'CALC ENGINE'!C23</f>
        <v/>
      </c>
      <c r="E26" s="107">
        <f>'CALC ENGINE'!D23</f>
        <v/>
      </c>
      <c r="F26" s="107">
        <f>'CALC ENGINE'!E23</f>
        <v/>
      </c>
      <c r="G26" s="108">
        <f>'CALC ENGINE'!T23</f>
        <v/>
      </c>
      <c r="H26" s="109">
        <f>IFERROR(SUMPRODUCT(($A$201:$A$293='MY PROFILE'!C10)*($B$201:$B$293=C26)*($C$201:$C$293)),0)</f>
        <v/>
      </c>
      <c r="I26" s="109">
        <f>IF(G26=999,"",G26*2)</f>
        <v/>
      </c>
      <c r="J26" s="109">
        <f>IF(G26=999,"",ROUND(G26*4/60,1)&amp;" hrs")</f>
        <v/>
      </c>
      <c r="K26" s="108">
        <f>IF(G26=999,"Unknown",IF('MY PROFILE'!G10="No Limit","Yes",IF('MY PROFILE'!G10="30 Minutes",IF(G26&lt;=30,"Yes","No"),IF('MY PROFILE'!G10="1 Hour",IF(G26&lt;=60,"Yes","No"),IF('MY PROFILE'!G10="1.5 Hours",IF(G26&lt;=90,"Yes","No"),IF('MY PROFILE'!G10="2 Hours",IF(G26&lt;=120,"Yes","No"),IF('MY PROFILE'!G10="3 Hours",IF(G26&lt;=180,"Yes","No"),"No")))))))</f>
        <v/>
      </c>
      <c r="L26" s="108">
        <f>IF(G26=0,"Same City",IF(G26&lt;=30,"Short",IF(G26&lt;=90,"Medium",IF(G26&lt;=180,"Long","Very Long"))))</f>
        <v/>
      </c>
      <c r="M26" s="108">
        <f>'CALC ENGINE'!S23</f>
        <v/>
      </c>
    </row>
    <row r="27" ht="17" customHeight="1">
      <c r="B27" s="106" t="n">
        <v>22</v>
      </c>
      <c r="C27" s="110">
        <f>'CALC ENGINE'!B24</f>
        <v/>
      </c>
      <c r="D27" s="110">
        <f>'CALC ENGINE'!C24</f>
        <v/>
      </c>
      <c r="E27" s="110">
        <f>'CALC ENGINE'!D24</f>
        <v/>
      </c>
      <c r="F27" s="110">
        <f>'CALC ENGINE'!E24</f>
        <v/>
      </c>
      <c r="G27" s="111">
        <f>'CALC ENGINE'!T24</f>
        <v/>
      </c>
      <c r="H27" s="112">
        <f>IFERROR(SUMPRODUCT(($A$201:$A$293='MY PROFILE'!C10)*($B$201:$B$293=C27)*($C$201:$C$293)),0)</f>
        <v/>
      </c>
      <c r="I27" s="112">
        <f>IF(G27=999,"",G27*2)</f>
        <v/>
      </c>
      <c r="J27" s="112">
        <f>IF(G27=999,"",ROUND(G27*4/60,1)&amp;" hrs")</f>
        <v/>
      </c>
      <c r="K27" s="111">
        <f>IF(G27=999,"Unknown",IF('MY PROFILE'!G10="No Limit","Yes",IF('MY PROFILE'!G10="30 Minutes",IF(G27&lt;=30,"Yes","No"),IF('MY PROFILE'!G10="1 Hour",IF(G27&lt;=60,"Yes","No"),IF('MY PROFILE'!G10="1.5 Hours",IF(G27&lt;=90,"Yes","No"),IF('MY PROFILE'!G10="2 Hours",IF(G27&lt;=120,"Yes","No"),IF('MY PROFILE'!G10="3 Hours",IF(G27&lt;=180,"Yes","No"),"No")))))))</f>
        <v/>
      </c>
      <c r="L27" s="111">
        <f>IF(G27=0,"Same City",IF(G27&lt;=30,"Short",IF(G27&lt;=90,"Medium",IF(G27&lt;=180,"Long","Very Long"))))</f>
        <v/>
      </c>
      <c r="M27" s="111">
        <f>'CALC ENGINE'!S24</f>
        <v/>
      </c>
    </row>
    <row r="28" ht="17" customHeight="1">
      <c r="B28" s="106" t="n">
        <v>23</v>
      </c>
      <c r="C28" s="107">
        <f>'CALC ENGINE'!B25</f>
        <v/>
      </c>
      <c r="D28" s="107">
        <f>'CALC ENGINE'!C25</f>
        <v/>
      </c>
      <c r="E28" s="107">
        <f>'CALC ENGINE'!D25</f>
        <v/>
      </c>
      <c r="F28" s="107">
        <f>'CALC ENGINE'!E25</f>
        <v/>
      </c>
      <c r="G28" s="108">
        <f>'CALC ENGINE'!T25</f>
        <v/>
      </c>
      <c r="H28" s="109">
        <f>IFERROR(SUMPRODUCT(($A$201:$A$293='MY PROFILE'!C10)*($B$201:$B$293=C28)*($C$201:$C$293)),0)</f>
        <v/>
      </c>
      <c r="I28" s="109">
        <f>IF(G28=999,"",G28*2)</f>
        <v/>
      </c>
      <c r="J28" s="109">
        <f>IF(G28=999,"",ROUND(G28*4/60,1)&amp;" hrs")</f>
        <v/>
      </c>
      <c r="K28" s="108">
        <f>IF(G28=999,"Unknown",IF('MY PROFILE'!G10="No Limit","Yes",IF('MY PROFILE'!G10="30 Minutes",IF(G28&lt;=30,"Yes","No"),IF('MY PROFILE'!G10="1 Hour",IF(G28&lt;=60,"Yes","No"),IF('MY PROFILE'!G10="1.5 Hours",IF(G28&lt;=90,"Yes","No"),IF('MY PROFILE'!G10="2 Hours",IF(G28&lt;=120,"Yes","No"),IF('MY PROFILE'!G10="3 Hours",IF(G28&lt;=180,"Yes","No"),"No")))))))</f>
        <v/>
      </c>
      <c r="L28" s="108">
        <f>IF(G28=0,"Same City",IF(G28&lt;=30,"Short",IF(G28&lt;=90,"Medium",IF(G28&lt;=180,"Long","Very Long"))))</f>
        <v/>
      </c>
      <c r="M28" s="108">
        <f>'CALC ENGINE'!S25</f>
        <v/>
      </c>
    </row>
    <row r="29" ht="17" customHeight="1">
      <c r="B29" s="106" t="n">
        <v>24</v>
      </c>
      <c r="C29" s="110">
        <f>'CALC ENGINE'!B26</f>
        <v/>
      </c>
      <c r="D29" s="110">
        <f>'CALC ENGINE'!C26</f>
        <v/>
      </c>
      <c r="E29" s="110">
        <f>'CALC ENGINE'!D26</f>
        <v/>
      </c>
      <c r="F29" s="110">
        <f>'CALC ENGINE'!E26</f>
        <v/>
      </c>
      <c r="G29" s="111">
        <f>'CALC ENGINE'!T26</f>
        <v/>
      </c>
      <c r="H29" s="112">
        <f>IFERROR(SUMPRODUCT(($A$201:$A$293='MY PROFILE'!C10)*($B$201:$B$293=C29)*($C$201:$C$293)),0)</f>
        <v/>
      </c>
      <c r="I29" s="112">
        <f>IF(G29=999,"",G29*2)</f>
        <v/>
      </c>
      <c r="J29" s="112">
        <f>IF(G29=999,"",ROUND(G29*4/60,1)&amp;" hrs")</f>
        <v/>
      </c>
      <c r="K29" s="111">
        <f>IF(G29=999,"Unknown",IF('MY PROFILE'!G10="No Limit","Yes",IF('MY PROFILE'!G10="30 Minutes",IF(G29&lt;=30,"Yes","No"),IF('MY PROFILE'!G10="1 Hour",IF(G29&lt;=60,"Yes","No"),IF('MY PROFILE'!G10="1.5 Hours",IF(G29&lt;=90,"Yes","No"),IF('MY PROFILE'!G10="2 Hours",IF(G29&lt;=120,"Yes","No"),IF('MY PROFILE'!G10="3 Hours",IF(G29&lt;=180,"Yes","No"),"No")))))))</f>
        <v/>
      </c>
      <c r="L29" s="111">
        <f>IF(G29=0,"Same City",IF(G29&lt;=30,"Short",IF(G29&lt;=90,"Medium",IF(G29&lt;=180,"Long","Very Long"))))</f>
        <v/>
      </c>
      <c r="M29" s="111">
        <f>'CALC ENGINE'!S26</f>
        <v/>
      </c>
    </row>
    <row r="30" ht="17" customHeight="1">
      <c r="B30" s="106" t="n">
        <v>25</v>
      </c>
      <c r="C30" s="107">
        <f>'CALC ENGINE'!B27</f>
        <v/>
      </c>
      <c r="D30" s="107">
        <f>'CALC ENGINE'!C27</f>
        <v/>
      </c>
      <c r="E30" s="107">
        <f>'CALC ENGINE'!D27</f>
        <v/>
      </c>
      <c r="F30" s="107">
        <f>'CALC ENGINE'!E27</f>
        <v/>
      </c>
      <c r="G30" s="108">
        <f>'CALC ENGINE'!T27</f>
        <v/>
      </c>
      <c r="H30" s="109">
        <f>IFERROR(SUMPRODUCT(($A$201:$A$293='MY PROFILE'!C10)*($B$201:$B$293=C30)*($C$201:$C$293)),0)</f>
        <v/>
      </c>
      <c r="I30" s="109">
        <f>IF(G30=999,"",G30*2)</f>
        <v/>
      </c>
      <c r="J30" s="109">
        <f>IF(G30=999,"",ROUND(G30*4/60,1)&amp;" hrs")</f>
        <v/>
      </c>
      <c r="K30" s="108">
        <f>IF(G30=999,"Unknown",IF('MY PROFILE'!G10="No Limit","Yes",IF('MY PROFILE'!G10="30 Minutes",IF(G30&lt;=30,"Yes","No"),IF('MY PROFILE'!G10="1 Hour",IF(G30&lt;=60,"Yes","No"),IF('MY PROFILE'!G10="1.5 Hours",IF(G30&lt;=90,"Yes","No"),IF('MY PROFILE'!G10="2 Hours",IF(G30&lt;=120,"Yes","No"),IF('MY PROFILE'!G10="3 Hours",IF(G30&lt;=180,"Yes","No"),"No")))))))</f>
        <v/>
      </c>
      <c r="L30" s="108">
        <f>IF(G30=0,"Same City",IF(G30&lt;=30,"Short",IF(G30&lt;=90,"Medium",IF(G30&lt;=180,"Long","Very Long"))))</f>
        <v/>
      </c>
      <c r="M30" s="108">
        <f>'CALC ENGINE'!S27</f>
        <v/>
      </c>
    </row>
    <row r="31" ht="17" customHeight="1">
      <c r="B31" s="106" t="n">
        <v>26</v>
      </c>
      <c r="C31" s="110">
        <f>'CALC ENGINE'!B28</f>
        <v/>
      </c>
      <c r="D31" s="110">
        <f>'CALC ENGINE'!C28</f>
        <v/>
      </c>
      <c r="E31" s="110">
        <f>'CALC ENGINE'!D28</f>
        <v/>
      </c>
      <c r="F31" s="110">
        <f>'CALC ENGINE'!E28</f>
        <v/>
      </c>
      <c r="G31" s="111">
        <f>'CALC ENGINE'!T28</f>
        <v/>
      </c>
      <c r="H31" s="112">
        <f>IFERROR(SUMPRODUCT(($A$201:$A$293='MY PROFILE'!C10)*($B$201:$B$293=C31)*($C$201:$C$293)),0)</f>
        <v/>
      </c>
      <c r="I31" s="112">
        <f>IF(G31=999,"",G31*2)</f>
        <v/>
      </c>
      <c r="J31" s="112">
        <f>IF(G31=999,"",ROUND(G31*4/60,1)&amp;" hrs")</f>
        <v/>
      </c>
      <c r="K31" s="111">
        <f>IF(G31=999,"Unknown",IF('MY PROFILE'!G10="No Limit","Yes",IF('MY PROFILE'!G10="30 Minutes",IF(G31&lt;=30,"Yes","No"),IF('MY PROFILE'!G10="1 Hour",IF(G31&lt;=60,"Yes","No"),IF('MY PROFILE'!G10="1.5 Hours",IF(G31&lt;=90,"Yes","No"),IF('MY PROFILE'!G10="2 Hours",IF(G31&lt;=120,"Yes","No"),IF('MY PROFILE'!G10="3 Hours",IF(G31&lt;=180,"Yes","No"),"No")))))))</f>
        <v/>
      </c>
      <c r="L31" s="111">
        <f>IF(G31=0,"Same City",IF(G31&lt;=30,"Short",IF(G31&lt;=90,"Medium",IF(G31&lt;=180,"Long","Very Long"))))</f>
        <v/>
      </c>
      <c r="M31" s="111">
        <f>'CALC ENGINE'!S28</f>
        <v/>
      </c>
    </row>
    <row r="32" ht="17" customHeight="1">
      <c r="B32" s="106" t="n">
        <v>27</v>
      </c>
      <c r="C32" s="107">
        <f>'CALC ENGINE'!B29</f>
        <v/>
      </c>
      <c r="D32" s="107">
        <f>'CALC ENGINE'!C29</f>
        <v/>
      </c>
      <c r="E32" s="107">
        <f>'CALC ENGINE'!D29</f>
        <v/>
      </c>
      <c r="F32" s="107">
        <f>'CALC ENGINE'!E29</f>
        <v/>
      </c>
      <c r="G32" s="108">
        <f>'CALC ENGINE'!T29</f>
        <v/>
      </c>
      <c r="H32" s="109">
        <f>IFERROR(SUMPRODUCT(($A$201:$A$293='MY PROFILE'!C10)*($B$201:$B$293=C32)*($C$201:$C$293)),0)</f>
        <v/>
      </c>
      <c r="I32" s="109">
        <f>IF(G32=999,"",G32*2)</f>
        <v/>
      </c>
      <c r="J32" s="109">
        <f>IF(G32=999,"",ROUND(G32*4/60,1)&amp;" hrs")</f>
        <v/>
      </c>
      <c r="K32" s="108">
        <f>IF(G32=999,"Unknown",IF('MY PROFILE'!G10="No Limit","Yes",IF('MY PROFILE'!G10="30 Minutes",IF(G32&lt;=30,"Yes","No"),IF('MY PROFILE'!G10="1 Hour",IF(G32&lt;=60,"Yes","No"),IF('MY PROFILE'!G10="1.5 Hours",IF(G32&lt;=90,"Yes","No"),IF('MY PROFILE'!G10="2 Hours",IF(G32&lt;=120,"Yes","No"),IF('MY PROFILE'!G10="3 Hours",IF(G32&lt;=180,"Yes","No"),"No")))))))</f>
        <v/>
      </c>
      <c r="L32" s="108">
        <f>IF(G32=0,"Same City",IF(G32&lt;=30,"Short",IF(G32&lt;=90,"Medium",IF(G32&lt;=180,"Long","Very Long"))))</f>
        <v/>
      </c>
      <c r="M32" s="108">
        <f>'CALC ENGINE'!S29</f>
        <v/>
      </c>
    </row>
    <row r="33" ht="17" customHeight="1">
      <c r="B33" s="106" t="n">
        <v>28</v>
      </c>
      <c r="C33" s="110">
        <f>'CALC ENGINE'!B30</f>
        <v/>
      </c>
      <c r="D33" s="110">
        <f>'CALC ENGINE'!C30</f>
        <v/>
      </c>
      <c r="E33" s="110">
        <f>'CALC ENGINE'!D30</f>
        <v/>
      </c>
      <c r="F33" s="110">
        <f>'CALC ENGINE'!E30</f>
        <v/>
      </c>
      <c r="G33" s="111">
        <f>'CALC ENGINE'!T30</f>
        <v/>
      </c>
      <c r="H33" s="112">
        <f>IFERROR(SUMPRODUCT(($A$201:$A$293='MY PROFILE'!C10)*($B$201:$B$293=C33)*($C$201:$C$293)),0)</f>
        <v/>
      </c>
      <c r="I33" s="112">
        <f>IF(G33=999,"",G33*2)</f>
        <v/>
      </c>
      <c r="J33" s="112">
        <f>IF(G33=999,"",ROUND(G33*4/60,1)&amp;" hrs")</f>
        <v/>
      </c>
      <c r="K33" s="111">
        <f>IF(G33=999,"Unknown",IF('MY PROFILE'!G10="No Limit","Yes",IF('MY PROFILE'!G10="30 Minutes",IF(G33&lt;=30,"Yes","No"),IF('MY PROFILE'!G10="1 Hour",IF(G33&lt;=60,"Yes","No"),IF('MY PROFILE'!G10="1.5 Hours",IF(G33&lt;=90,"Yes","No"),IF('MY PROFILE'!G10="2 Hours",IF(G33&lt;=120,"Yes","No"),IF('MY PROFILE'!G10="3 Hours",IF(G33&lt;=180,"Yes","No"),"No")))))))</f>
        <v/>
      </c>
      <c r="L33" s="111">
        <f>IF(G33=0,"Same City",IF(G33&lt;=30,"Short",IF(G33&lt;=90,"Medium",IF(G33&lt;=180,"Long","Very Long"))))</f>
        <v/>
      </c>
      <c r="M33" s="111">
        <f>'CALC ENGINE'!S30</f>
        <v/>
      </c>
    </row>
    <row r="34" ht="17" customHeight="1">
      <c r="B34" s="106" t="n">
        <v>29</v>
      </c>
      <c r="C34" s="107">
        <f>'CALC ENGINE'!B31</f>
        <v/>
      </c>
      <c r="D34" s="107">
        <f>'CALC ENGINE'!C31</f>
        <v/>
      </c>
      <c r="E34" s="107">
        <f>'CALC ENGINE'!D31</f>
        <v/>
      </c>
      <c r="F34" s="107">
        <f>'CALC ENGINE'!E31</f>
        <v/>
      </c>
      <c r="G34" s="108">
        <f>'CALC ENGINE'!T31</f>
        <v/>
      </c>
      <c r="H34" s="109">
        <f>IFERROR(SUMPRODUCT(($A$201:$A$293='MY PROFILE'!C10)*($B$201:$B$293=C34)*($C$201:$C$293)),0)</f>
        <v/>
      </c>
      <c r="I34" s="109">
        <f>IF(G34=999,"",G34*2)</f>
        <v/>
      </c>
      <c r="J34" s="109">
        <f>IF(G34=999,"",ROUND(G34*4/60,1)&amp;" hrs")</f>
        <v/>
      </c>
      <c r="K34" s="108">
        <f>IF(G34=999,"Unknown",IF('MY PROFILE'!G10="No Limit","Yes",IF('MY PROFILE'!G10="30 Minutes",IF(G34&lt;=30,"Yes","No"),IF('MY PROFILE'!G10="1 Hour",IF(G34&lt;=60,"Yes","No"),IF('MY PROFILE'!G10="1.5 Hours",IF(G34&lt;=90,"Yes","No"),IF('MY PROFILE'!G10="2 Hours",IF(G34&lt;=120,"Yes","No"),IF('MY PROFILE'!G10="3 Hours",IF(G34&lt;=180,"Yes","No"),"No")))))))</f>
        <v/>
      </c>
      <c r="L34" s="108">
        <f>IF(G34=0,"Same City",IF(G34&lt;=30,"Short",IF(G34&lt;=90,"Medium",IF(G34&lt;=180,"Long","Very Long"))))</f>
        <v/>
      </c>
      <c r="M34" s="108">
        <f>'CALC ENGINE'!S31</f>
        <v/>
      </c>
    </row>
    <row r="35" ht="17" customHeight="1">
      <c r="B35" s="106" t="n">
        <v>30</v>
      </c>
      <c r="C35" s="110">
        <f>'CALC ENGINE'!B32</f>
        <v/>
      </c>
      <c r="D35" s="110">
        <f>'CALC ENGINE'!C32</f>
        <v/>
      </c>
      <c r="E35" s="110">
        <f>'CALC ENGINE'!D32</f>
        <v/>
      </c>
      <c r="F35" s="110">
        <f>'CALC ENGINE'!E32</f>
        <v/>
      </c>
      <c r="G35" s="111">
        <f>'CALC ENGINE'!T32</f>
        <v/>
      </c>
      <c r="H35" s="112">
        <f>IFERROR(SUMPRODUCT(($A$201:$A$293='MY PROFILE'!C10)*($B$201:$B$293=C35)*($C$201:$C$293)),0)</f>
        <v/>
      </c>
      <c r="I35" s="112">
        <f>IF(G35=999,"",G35*2)</f>
        <v/>
      </c>
      <c r="J35" s="112">
        <f>IF(G35=999,"",ROUND(G35*4/60,1)&amp;" hrs")</f>
        <v/>
      </c>
      <c r="K35" s="111">
        <f>IF(G35=999,"Unknown",IF('MY PROFILE'!G10="No Limit","Yes",IF('MY PROFILE'!G10="30 Minutes",IF(G35&lt;=30,"Yes","No"),IF('MY PROFILE'!G10="1 Hour",IF(G35&lt;=60,"Yes","No"),IF('MY PROFILE'!G10="1.5 Hours",IF(G35&lt;=90,"Yes","No"),IF('MY PROFILE'!G10="2 Hours",IF(G35&lt;=120,"Yes","No"),IF('MY PROFILE'!G10="3 Hours",IF(G35&lt;=180,"Yes","No"),"No")))))))</f>
        <v/>
      </c>
      <c r="L35" s="111">
        <f>IF(G35=0,"Same City",IF(G35&lt;=30,"Short",IF(G35&lt;=90,"Medium",IF(G35&lt;=180,"Long","Very Long"))))</f>
        <v/>
      </c>
      <c r="M35" s="111">
        <f>'CALC ENGINE'!S32</f>
        <v/>
      </c>
    </row>
    <row r="36" ht="17" customHeight="1">
      <c r="B36" s="106" t="n">
        <v>31</v>
      </c>
      <c r="C36" s="107">
        <f>'CALC ENGINE'!B33</f>
        <v/>
      </c>
      <c r="D36" s="107">
        <f>'CALC ENGINE'!C33</f>
        <v/>
      </c>
      <c r="E36" s="107">
        <f>'CALC ENGINE'!D33</f>
        <v/>
      </c>
      <c r="F36" s="107">
        <f>'CALC ENGINE'!E33</f>
        <v/>
      </c>
      <c r="G36" s="108">
        <f>'CALC ENGINE'!T33</f>
        <v/>
      </c>
      <c r="H36" s="109">
        <f>IFERROR(SUMPRODUCT(($A$201:$A$293='MY PROFILE'!C10)*($B$201:$B$293=C36)*($C$201:$C$293)),0)</f>
        <v/>
      </c>
      <c r="I36" s="109">
        <f>IF(G36=999,"",G36*2)</f>
        <v/>
      </c>
      <c r="J36" s="109">
        <f>IF(G36=999,"",ROUND(G36*4/60,1)&amp;" hrs")</f>
        <v/>
      </c>
      <c r="K36" s="108">
        <f>IF(G36=999,"Unknown",IF('MY PROFILE'!G10="No Limit","Yes",IF('MY PROFILE'!G10="30 Minutes",IF(G36&lt;=30,"Yes","No"),IF('MY PROFILE'!G10="1 Hour",IF(G36&lt;=60,"Yes","No"),IF('MY PROFILE'!G10="1.5 Hours",IF(G36&lt;=90,"Yes","No"),IF('MY PROFILE'!G10="2 Hours",IF(G36&lt;=120,"Yes","No"),IF('MY PROFILE'!G10="3 Hours",IF(G36&lt;=180,"Yes","No"),"No")))))))</f>
        <v/>
      </c>
      <c r="L36" s="108">
        <f>IF(G36=0,"Same City",IF(G36&lt;=30,"Short",IF(G36&lt;=90,"Medium",IF(G36&lt;=180,"Long","Very Long"))))</f>
        <v/>
      </c>
      <c r="M36" s="108">
        <f>'CALC ENGINE'!S33</f>
        <v/>
      </c>
    </row>
    <row r="37" ht="17" customHeight="1">
      <c r="B37" s="106" t="n">
        <v>32</v>
      </c>
      <c r="C37" s="110">
        <f>'CALC ENGINE'!B34</f>
        <v/>
      </c>
      <c r="D37" s="110">
        <f>'CALC ENGINE'!C34</f>
        <v/>
      </c>
      <c r="E37" s="110">
        <f>'CALC ENGINE'!D34</f>
        <v/>
      </c>
      <c r="F37" s="110">
        <f>'CALC ENGINE'!E34</f>
        <v/>
      </c>
      <c r="G37" s="111">
        <f>'CALC ENGINE'!T34</f>
        <v/>
      </c>
      <c r="H37" s="112">
        <f>IFERROR(SUMPRODUCT(($A$201:$A$293='MY PROFILE'!C10)*($B$201:$B$293=C37)*($C$201:$C$293)),0)</f>
        <v/>
      </c>
      <c r="I37" s="112">
        <f>IF(G37=999,"",G37*2)</f>
        <v/>
      </c>
      <c r="J37" s="112">
        <f>IF(G37=999,"",ROUND(G37*4/60,1)&amp;" hrs")</f>
        <v/>
      </c>
      <c r="K37" s="111">
        <f>IF(G37=999,"Unknown",IF('MY PROFILE'!G10="No Limit","Yes",IF('MY PROFILE'!G10="30 Minutes",IF(G37&lt;=30,"Yes","No"),IF('MY PROFILE'!G10="1 Hour",IF(G37&lt;=60,"Yes","No"),IF('MY PROFILE'!G10="1.5 Hours",IF(G37&lt;=90,"Yes","No"),IF('MY PROFILE'!G10="2 Hours",IF(G37&lt;=120,"Yes","No"),IF('MY PROFILE'!G10="3 Hours",IF(G37&lt;=180,"Yes","No"),"No")))))))</f>
        <v/>
      </c>
      <c r="L37" s="111">
        <f>IF(G37=0,"Same City",IF(G37&lt;=30,"Short",IF(G37&lt;=90,"Medium",IF(G37&lt;=180,"Long","Very Long"))))</f>
        <v/>
      </c>
      <c r="M37" s="111">
        <f>'CALC ENGINE'!S34</f>
        <v/>
      </c>
    </row>
    <row r="38" ht="17" customHeight="1">
      <c r="B38" s="106" t="n">
        <v>33</v>
      </c>
      <c r="C38" s="107">
        <f>'CALC ENGINE'!B35</f>
        <v/>
      </c>
      <c r="D38" s="107">
        <f>'CALC ENGINE'!C35</f>
        <v/>
      </c>
      <c r="E38" s="107">
        <f>'CALC ENGINE'!D35</f>
        <v/>
      </c>
      <c r="F38" s="107">
        <f>'CALC ENGINE'!E35</f>
        <v/>
      </c>
      <c r="G38" s="108">
        <f>'CALC ENGINE'!T35</f>
        <v/>
      </c>
      <c r="H38" s="109">
        <f>IFERROR(SUMPRODUCT(($A$201:$A$293='MY PROFILE'!C10)*($B$201:$B$293=C38)*($C$201:$C$293)),0)</f>
        <v/>
      </c>
      <c r="I38" s="109">
        <f>IF(G38=999,"",G38*2)</f>
        <v/>
      </c>
      <c r="J38" s="109">
        <f>IF(G38=999,"",ROUND(G38*4/60,1)&amp;" hrs")</f>
        <v/>
      </c>
      <c r="K38" s="108">
        <f>IF(G38=999,"Unknown",IF('MY PROFILE'!G10="No Limit","Yes",IF('MY PROFILE'!G10="30 Minutes",IF(G38&lt;=30,"Yes","No"),IF('MY PROFILE'!G10="1 Hour",IF(G38&lt;=60,"Yes","No"),IF('MY PROFILE'!G10="1.5 Hours",IF(G38&lt;=90,"Yes","No"),IF('MY PROFILE'!G10="2 Hours",IF(G38&lt;=120,"Yes","No"),IF('MY PROFILE'!G10="3 Hours",IF(G38&lt;=180,"Yes","No"),"No")))))))</f>
        <v/>
      </c>
      <c r="L38" s="108">
        <f>IF(G38=0,"Same City",IF(G38&lt;=30,"Short",IF(G38&lt;=90,"Medium",IF(G38&lt;=180,"Long","Very Long"))))</f>
        <v/>
      </c>
      <c r="M38" s="108">
        <f>'CALC ENGINE'!S35</f>
        <v/>
      </c>
    </row>
    <row r="39" ht="17" customHeight="1">
      <c r="B39" s="106" t="n">
        <v>34</v>
      </c>
      <c r="C39" s="110">
        <f>'CALC ENGINE'!B36</f>
        <v/>
      </c>
      <c r="D39" s="110">
        <f>'CALC ENGINE'!C36</f>
        <v/>
      </c>
      <c r="E39" s="110">
        <f>'CALC ENGINE'!D36</f>
        <v/>
      </c>
      <c r="F39" s="110">
        <f>'CALC ENGINE'!E36</f>
        <v/>
      </c>
      <c r="G39" s="111">
        <f>'CALC ENGINE'!T36</f>
        <v/>
      </c>
      <c r="H39" s="112">
        <f>IFERROR(SUMPRODUCT(($A$201:$A$293='MY PROFILE'!C10)*($B$201:$B$293=C39)*($C$201:$C$293)),0)</f>
        <v/>
      </c>
      <c r="I39" s="112">
        <f>IF(G39=999,"",G39*2)</f>
        <v/>
      </c>
      <c r="J39" s="112">
        <f>IF(G39=999,"",ROUND(G39*4/60,1)&amp;" hrs")</f>
        <v/>
      </c>
      <c r="K39" s="111">
        <f>IF(G39=999,"Unknown",IF('MY PROFILE'!G10="No Limit","Yes",IF('MY PROFILE'!G10="30 Minutes",IF(G39&lt;=30,"Yes","No"),IF('MY PROFILE'!G10="1 Hour",IF(G39&lt;=60,"Yes","No"),IF('MY PROFILE'!G10="1.5 Hours",IF(G39&lt;=90,"Yes","No"),IF('MY PROFILE'!G10="2 Hours",IF(G39&lt;=120,"Yes","No"),IF('MY PROFILE'!G10="3 Hours",IF(G39&lt;=180,"Yes","No"),"No")))))))</f>
        <v/>
      </c>
      <c r="L39" s="111">
        <f>IF(G39=0,"Same City",IF(G39&lt;=30,"Short",IF(G39&lt;=90,"Medium",IF(G39&lt;=180,"Long","Very Long"))))</f>
        <v/>
      </c>
      <c r="M39" s="111">
        <f>'CALC ENGINE'!S36</f>
        <v/>
      </c>
    </row>
    <row r="40" ht="17" customHeight="1">
      <c r="B40" s="106" t="n">
        <v>35</v>
      </c>
      <c r="C40" s="107">
        <f>'CALC ENGINE'!B37</f>
        <v/>
      </c>
      <c r="D40" s="107">
        <f>'CALC ENGINE'!C37</f>
        <v/>
      </c>
      <c r="E40" s="107">
        <f>'CALC ENGINE'!D37</f>
        <v/>
      </c>
      <c r="F40" s="107">
        <f>'CALC ENGINE'!E37</f>
        <v/>
      </c>
      <c r="G40" s="108">
        <f>'CALC ENGINE'!T37</f>
        <v/>
      </c>
      <c r="H40" s="109">
        <f>IFERROR(SUMPRODUCT(($A$201:$A$293='MY PROFILE'!C10)*($B$201:$B$293=C40)*($C$201:$C$293)),0)</f>
        <v/>
      </c>
      <c r="I40" s="109">
        <f>IF(G40=999,"",G40*2)</f>
        <v/>
      </c>
      <c r="J40" s="109">
        <f>IF(G40=999,"",ROUND(G40*4/60,1)&amp;" hrs")</f>
        <v/>
      </c>
      <c r="K40" s="108">
        <f>IF(G40=999,"Unknown",IF('MY PROFILE'!G10="No Limit","Yes",IF('MY PROFILE'!G10="30 Minutes",IF(G40&lt;=30,"Yes","No"),IF('MY PROFILE'!G10="1 Hour",IF(G40&lt;=60,"Yes","No"),IF('MY PROFILE'!G10="1.5 Hours",IF(G40&lt;=90,"Yes","No"),IF('MY PROFILE'!G10="2 Hours",IF(G40&lt;=120,"Yes","No"),IF('MY PROFILE'!G10="3 Hours",IF(G40&lt;=180,"Yes","No"),"No")))))))</f>
        <v/>
      </c>
      <c r="L40" s="108">
        <f>IF(G40=0,"Same City",IF(G40&lt;=30,"Short",IF(G40&lt;=90,"Medium",IF(G40&lt;=180,"Long","Very Long"))))</f>
        <v/>
      </c>
      <c r="M40" s="108">
        <f>'CALC ENGINE'!S37</f>
        <v/>
      </c>
    </row>
    <row r="41" ht="17" customHeight="1">
      <c r="B41" s="106" t="n">
        <v>36</v>
      </c>
      <c r="C41" s="110">
        <f>'CALC ENGINE'!B38</f>
        <v/>
      </c>
      <c r="D41" s="110">
        <f>'CALC ENGINE'!C38</f>
        <v/>
      </c>
      <c r="E41" s="110">
        <f>'CALC ENGINE'!D38</f>
        <v/>
      </c>
      <c r="F41" s="110">
        <f>'CALC ENGINE'!E38</f>
        <v/>
      </c>
      <c r="G41" s="111">
        <f>'CALC ENGINE'!T38</f>
        <v/>
      </c>
      <c r="H41" s="112">
        <f>IFERROR(SUMPRODUCT(($A$201:$A$293='MY PROFILE'!C10)*($B$201:$B$293=C41)*($C$201:$C$293)),0)</f>
        <v/>
      </c>
      <c r="I41" s="112">
        <f>IF(G41=999,"",G41*2)</f>
        <v/>
      </c>
      <c r="J41" s="112">
        <f>IF(G41=999,"",ROUND(G41*4/60,1)&amp;" hrs")</f>
        <v/>
      </c>
      <c r="K41" s="111">
        <f>IF(G41=999,"Unknown",IF('MY PROFILE'!G10="No Limit","Yes",IF('MY PROFILE'!G10="30 Minutes",IF(G41&lt;=30,"Yes","No"),IF('MY PROFILE'!G10="1 Hour",IF(G41&lt;=60,"Yes","No"),IF('MY PROFILE'!G10="1.5 Hours",IF(G41&lt;=90,"Yes","No"),IF('MY PROFILE'!G10="2 Hours",IF(G41&lt;=120,"Yes","No"),IF('MY PROFILE'!G10="3 Hours",IF(G41&lt;=180,"Yes","No"),"No")))))))</f>
        <v/>
      </c>
      <c r="L41" s="111">
        <f>IF(G41=0,"Same City",IF(G41&lt;=30,"Short",IF(G41&lt;=90,"Medium",IF(G41&lt;=180,"Long","Very Long"))))</f>
        <v/>
      </c>
      <c r="M41" s="111">
        <f>'CALC ENGINE'!S38</f>
        <v/>
      </c>
    </row>
    <row r="42" ht="17" customHeight="1">
      <c r="B42" s="106" t="n">
        <v>37</v>
      </c>
      <c r="C42" s="107">
        <f>'CALC ENGINE'!B39</f>
        <v/>
      </c>
      <c r="D42" s="107">
        <f>'CALC ENGINE'!C39</f>
        <v/>
      </c>
      <c r="E42" s="107">
        <f>'CALC ENGINE'!D39</f>
        <v/>
      </c>
      <c r="F42" s="107">
        <f>'CALC ENGINE'!E39</f>
        <v/>
      </c>
      <c r="G42" s="108">
        <f>'CALC ENGINE'!T39</f>
        <v/>
      </c>
      <c r="H42" s="109">
        <f>IFERROR(SUMPRODUCT(($A$201:$A$293='MY PROFILE'!C10)*($B$201:$B$293=C42)*($C$201:$C$293)),0)</f>
        <v/>
      </c>
      <c r="I42" s="109">
        <f>IF(G42=999,"",G42*2)</f>
        <v/>
      </c>
      <c r="J42" s="109">
        <f>IF(G42=999,"",ROUND(G42*4/60,1)&amp;" hrs")</f>
        <v/>
      </c>
      <c r="K42" s="108">
        <f>IF(G42=999,"Unknown",IF('MY PROFILE'!G10="No Limit","Yes",IF('MY PROFILE'!G10="30 Minutes",IF(G42&lt;=30,"Yes","No"),IF('MY PROFILE'!G10="1 Hour",IF(G42&lt;=60,"Yes","No"),IF('MY PROFILE'!G10="1.5 Hours",IF(G42&lt;=90,"Yes","No"),IF('MY PROFILE'!G10="2 Hours",IF(G42&lt;=120,"Yes","No"),IF('MY PROFILE'!G10="3 Hours",IF(G42&lt;=180,"Yes","No"),"No")))))))</f>
        <v/>
      </c>
      <c r="L42" s="108">
        <f>IF(G42=0,"Same City",IF(G42&lt;=30,"Short",IF(G42&lt;=90,"Medium",IF(G42&lt;=180,"Long","Very Long"))))</f>
        <v/>
      </c>
      <c r="M42" s="108">
        <f>'CALC ENGINE'!S39</f>
        <v/>
      </c>
    </row>
    <row r="43" ht="17" customHeight="1">
      <c r="B43" s="106" t="n">
        <v>38</v>
      </c>
      <c r="C43" s="110">
        <f>'CALC ENGINE'!B40</f>
        <v/>
      </c>
      <c r="D43" s="110">
        <f>'CALC ENGINE'!C40</f>
        <v/>
      </c>
      <c r="E43" s="110">
        <f>'CALC ENGINE'!D40</f>
        <v/>
      </c>
      <c r="F43" s="110">
        <f>'CALC ENGINE'!E40</f>
        <v/>
      </c>
      <c r="G43" s="111">
        <f>'CALC ENGINE'!T40</f>
        <v/>
      </c>
      <c r="H43" s="112">
        <f>IFERROR(SUMPRODUCT(($A$201:$A$293='MY PROFILE'!C10)*($B$201:$B$293=C43)*($C$201:$C$293)),0)</f>
        <v/>
      </c>
      <c r="I43" s="112">
        <f>IF(G43=999,"",G43*2)</f>
        <v/>
      </c>
      <c r="J43" s="112">
        <f>IF(G43=999,"",ROUND(G43*4/60,1)&amp;" hrs")</f>
        <v/>
      </c>
      <c r="K43" s="111">
        <f>IF(G43=999,"Unknown",IF('MY PROFILE'!G10="No Limit","Yes",IF('MY PROFILE'!G10="30 Minutes",IF(G43&lt;=30,"Yes","No"),IF('MY PROFILE'!G10="1 Hour",IF(G43&lt;=60,"Yes","No"),IF('MY PROFILE'!G10="1.5 Hours",IF(G43&lt;=90,"Yes","No"),IF('MY PROFILE'!G10="2 Hours",IF(G43&lt;=120,"Yes","No"),IF('MY PROFILE'!G10="3 Hours",IF(G43&lt;=180,"Yes","No"),"No")))))))</f>
        <v/>
      </c>
      <c r="L43" s="111">
        <f>IF(G43=0,"Same City",IF(G43&lt;=30,"Short",IF(G43&lt;=90,"Medium",IF(G43&lt;=180,"Long","Very Long"))))</f>
        <v/>
      </c>
      <c r="M43" s="111">
        <f>'CALC ENGINE'!S40</f>
        <v/>
      </c>
    </row>
    <row r="44" ht="17" customHeight="1">
      <c r="B44" s="106" t="n">
        <v>39</v>
      </c>
      <c r="C44" s="107">
        <f>'CALC ENGINE'!B41</f>
        <v/>
      </c>
      <c r="D44" s="107">
        <f>'CALC ENGINE'!C41</f>
        <v/>
      </c>
      <c r="E44" s="107">
        <f>'CALC ENGINE'!D41</f>
        <v/>
      </c>
      <c r="F44" s="107">
        <f>'CALC ENGINE'!E41</f>
        <v/>
      </c>
      <c r="G44" s="108">
        <f>'CALC ENGINE'!T41</f>
        <v/>
      </c>
      <c r="H44" s="109">
        <f>IFERROR(SUMPRODUCT(($A$201:$A$293='MY PROFILE'!C10)*($B$201:$B$293=C44)*($C$201:$C$293)),0)</f>
        <v/>
      </c>
      <c r="I44" s="109">
        <f>IF(G44=999,"",G44*2)</f>
        <v/>
      </c>
      <c r="J44" s="109">
        <f>IF(G44=999,"",ROUND(G44*4/60,1)&amp;" hrs")</f>
        <v/>
      </c>
      <c r="K44" s="108">
        <f>IF(G44=999,"Unknown",IF('MY PROFILE'!G10="No Limit","Yes",IF('MY PROFILE'!G10="30 Minutes",IF(G44&lt;=30,"Yes","No"),IF('MY PROFILE'!G10="1 Hour",IF(G44&lt;=60,"Yes","No"),IF('MY PROFILE'!G10="1.5 Hours",IF(G44&lt;=90,"Yes","No"),IF('MY PROFILE'!G10="2 Hours",IF(G44&lt;=120,"Yes","No"),IF('MY PROFILE'!G10="3 Hours",IF(G44&lt;=180,"Yes","No"),"No")))))))</f>
        <v/>
      </c>
      <c r="L44" s="108">
        <f>IF(G44=0,"Same City",IF(G44&lt;=30,"Short",IF(G44&lt;=90,"Medium",IF(G44&lt;=180,"Long","Very Long"))))</f>
        <v/>
      </c>
      <c r="M44" s="108">
        <f>'CALC ENGINE'!S41</f>
        <v/>
      </c>
    </row>
    <row r="45" ht="17" customHeight="1">
      <c r="B45" s="106" t="n">
        <v>40</v>
      </c>
      <c r="C45" s="110">
        <f>'CALC ENGINE'!B42</f>
        <v/>
      </c>
      <c r="D45" s="110">
        <f>'CALC ENGINE'!C42</f>
        <v/>
      </c>
      <c r="E45" s="110">
        <f>'CALC ENGINE'!D42</f>
        <v/>
      </c>
      <c r="F45" s="110">
        <f>'CALC ENGINE'!E42</f>
        <v/>
      </c>
      <c r="G45" s="111">
        <f>'CALC ENGINE'!T42</f>
        <v/>
      </c>
      <c r="H45" s="112">
        <f>IFERROR(SUMPRODUCT(($A$201:$A$293='MY PROFILE'!C10)*($B$201:$B$293=C45)*($C$201:$C$293)),0)</f>
        <v/>
      </c>
      <c r="I45" s="112">
        <f>IF(G45=999,"",G45*2)</f>
        <v/>
      </c>
      <c r="J45" s="112">
        <f>IF(G45=999,"",ROUND(G45*4/60,1)&amp;" hrs")</f>
        <v/>
      </c>
      <c r="K45" s="111">
        <f>IF(G45=999,"Unknown",IF('MY PROFILE'!G10="No Limit","Yes",IF('MY PROFILE'!G10="30 Minutes",IF(G45&lt;=30,"Yes","No"),IF('MY PROFILE'!G10="1 Hour",IF(G45&lt;=60,"Yes","No"),IF('MY PROFILE'!G10="1.5 Hours",IF(G45&lt;=90,"Yes","No"),IF('MY PROFILE'!G10="2 Hours",IF(G45&lt;=120,"Yes","No"),IF('MY PROFILE'!G10="3 Hours",IF(G45&lt;=180,"Yes","No"),"No")))))))</f>
        <v/>
      </c>
      <c r="L45" s="111">
        <f>IF(G45=0,"Same City",IF(G45&lt;=30,"Short",IF(G45&lt;=90,"Medium",IF(G45&lt;=180,"Long","Very Long"))))</f>
        <v/>
      </c>
      <c r="M45" s="111">
        <f>'CALC ENGINE'!S42</f>
        <v/>
      </c>
    </row>
    <row r="46" ht="17" customHeight="1">
      <c r="B46" s="106" t="n">
        <v>41</v>
      </c>
      <c r="C46" s="107">
        <f>'CALC ENGINE'!B43</f>
        <v/>
      </c>
      <c r="D46" s="107">
        <f>'CALC ENGINE'!C43</f>
        <v/>
      </c>
      <c r="E46" s="107">
        <f>'CALC ENGINE'!D43</f>
        <v/>
      </c>
      <c r="F46" s="107">
        <f>'CALC ENGINE'!E43</f>
        <v/>
      </c>
      <c r="G46" s="108">
        <f>'CALC ENGINE'!T43</f>
        <v/>
      </c>
      <c r="H46" s="109">
        <f>IFERROR(SUMPRODUCT(($A$201:$A$293='MY PROFILE'!C10)*($B$201:$B$293=C46)*($C$201:$C$293)),0)</f>
        <v/>
      </c>
      <c r="I46" s="109">
        <f>IF(G46=999,"",G46*2)</f>
        <v/>
      </c>
      <c r="J46" s="109">
        <f>IF(G46=999,"",ROUND(G46*4/60,1)&amp;" hrs")</f>
        <v/>
      </c>
      <c r="K46" s="108">
        <f>IF(G46=999,"Unknown",IF('MY PROFILE'!G10="No Limit","Yes",IF('MY PROFILE'!G10="30 Minutes",IF(G46&lt;=30,"Yes","No"),IF('MY PROFILE'!G10="1 Hour",IF(G46&lt;=60,"Yes","No"),IF('MY PROFILE'!G10="1.5 Hours",IF(G46&lt;=90,"Yes","No"),IF('MY PROFILE'!G10="2 Hours",IF(G46&lt;=120,"Yes","No"),IF('MY PROFILE'!G10="3 Hours",IF(G46&lt;=180,"Yes","No"),"No")))))))</f>
        <v/>
      </c>
      <c r="L46" s="108">
        <f>IF(G46=0,"Same City",IF(G46&lt;=30,"Short",IF(G46&lt;=90,"Medium",IF(G46&lt;=180,"Long","Very Long"))))</f>
        <v/>
      </c>
      <c r="M46" s="108">
        <f>'CALC ENGINE'!S43</f>
        <v/>
      </c>
    </row>
    <row r="47" ht="17" customHeight="1">
      <c r="B47" s="106" t="n">
        <v>42</v>
      </c>
      <c r="C47" s="110">
        <f>'CALC ENGINE'!B44</f>
        <v/>
      </c>
      <c r="D47" s="110">
        <f>'CALC ENGINE'!C44</f>
        <v/>
      </c>
      <c r="E47" s="110">
        <f>'CALC ENGINE'!D44</f>
        <v/>
      </c>
      <c r="F47" s="110">
        <f>'CALC ENGINE'!E44</f>
        <v/>
      </c>
      <c r="G47" s="111">
        <f>'CALC ENGINE'!T44</f>
        <v/>
      </c>
      <c r="H47" s="112">
        <f>IFERROR(SUMPRODUCT(($A$201:$A$293='MY PROFILE'!C10)*($B$201:$B$293=C47)*($C$201:$C$293)),0)</f>
        <v/>
      </c>
      <c r="I47" s="112">
        <f>IF(G47=999,"",G47*2)</f>
        <v/>
      </c>
      <c r="J47" s="112">
        <f>IF(G47=999,"",ROUND(G47*4/60,1)&amp;" hrs")</f>
        <v/>
      </c>
      <c r="K47" s="111">
        <f>IF(G47=999,"Unknown",IF('MY PROFILE'!G10="No Limit","Yes",IF('MY PROFILE'!G10="30 Minutes",IF(G47&lt;=30,"Yes","No"),IF('MY PROFILE'!G10="1 Hour",IF(G47&lt;=60,"Yes","No"),IF('MY PROFILE'!G10="1.5 Hours",IF(G47&lt;=90,"Yes","No"),IF('MY PROFILE'!G10="2 Hours",IF(G47&lt;=120,"Yes","No"),IF('MY PROFILE'!G10="3 Hours",IF(G47&lt;=180,"Yes","No"),"No")))))))</f>
        <v/>
      </c>
      <c r="L47" s="111">
        <f>IF(G47=0,"Same City",IF(G47&lt;=30,"Short",IF(G47&lt;=90,"Medium",IF(G47&lt;=180,"Long","Very Long"))))</f>
        <v/>
      </c>
      <c r="M47" s="111">
        <f>'CALC ENGINE'!S44</f>
        <v/>
      </c>
    </row>
    <row r="48" ht="17" customHeight="1">
      <c r="B48" s="106" t="n">
        <v>43</v>
      </c>
      <c r="C48" s="107">
        <f>'CALC ENGINE'!B45</f>
        <v/>
      </c>
      <c r="D48" s="107">
        <f>'CALC ENGINE'!C45</f>
        <v/>
      </c>
      <c r="E48" s="107">
        <f>'CALC ENGINE'!D45</f>
        <v/>
      </c>
      <c r="F48" s="107">
        <f>'CALC ENGINE'!E45</f>
        <v/>
      </c>
      <c r="G48" s="108">
        <f>'CALC ENGINE'!T45</f>
        <v/>
      </c>
      <c r="H48" s="109">
        <f>IFERROR(SUMPRODUCT(($A$201:$A$293='MY PROFILE'!C10)*($B$201:$B$293=C48)*($C$201:$C$293)),0)</f>
        <v/>
      </c>
      <c r="I48" s="109">
        <f>IF(G48=999,"",G48*2)</f>
        <v/>
      </c>
      <c r="J48" s="109">
        <f>IF(G48=999,"",ROUND(G48*4/60,1)&amp;" hrs")</f>
        <v/>
      </c>
      <c r="K48" s="108">
        <f>IF(G48=999,"Unknown",IF('MY PROFILE'!G10="No Limit","Yes",IF('MY PROFILE'!G10="30 Minutes",IF(G48&lt;=30,"Yes","No"),IF('MY PROFILE'!G10="1 Hour",IF(G48&lt;=60,"Yes","No"),IF('MY PROFILE'!G10="1.5 Hours",IF(G48&lt;=90,"Yes","No"),IF('MY PROFILE'!G10="2 Hours",IF(G48&lt;=120,"Yes","No"),IF('MY PROFILE'!G10="3 Hours",IF(G48&lt;=180,"Yes","No"),"No")))))))</f>
        <v/>
      </c>
      <c r="L48" s="108">
        <f>IF(G48=0,"Same City",IF(G48&lt;=30,"Short",IF(G48&lt;=90,"Medium",IF(G48&lt;=180,"Long","Very Long"))))</f>
        <v/>
      </c>
      <c r="M48" s="108">
        <f>'CALC ENGINE'!S45</f>
        <v/>
      </c>
    </row>
    <row r="49" ht="17" customHeight="1">
      <c r="B49" s="106" t="n">
        <v>44</v>
      </c>
      <c r="C49" s="110">
        <f>'CALC ENGINE'!B46</f>
        <v/>
      </c>
      <c r="D49" s="110">
        <f>'CALC ENGINE'!C46</f>
        <v/>
      </c>
      <c r="E49" s="110">
        <f>'CALC ENGINE'!D46</f>
        <v/>
      </c>
      <c r="F49" s="110">
        <f>'CALC ENGINE'!E46</f>
        <v/>
      </c>
      <c r="G49" s="111">
        <f>'CALC ENGINE'!T46</f>
        <v/>
      </c>
      <c r="H49" s="112">
        <f>IFERROR(SUMPRODUCT(($A$201:$A$293='MY PROFILE'!C10)*($B$201:$B$293=C49)*($C$201:$C$293)),0)</f>
        <v/>
      </c>
      <c r="I49" s="112">
        <f>IF(G49=999,"",G49*2)</f>
        <v/>
      </c>
      <c r="J49" s="112">
        <f>IF(G49=999,"",ROUND(G49*4/60,1)&amp;" hrs")</f>
        <v/>
      </c>
      <c r="K49" s="111">
        <f>IF(G49=999,"Unknown",IF('MY PROFILE'!G10="No Limit","Yes",IF('MY PROFILE'!G10="30 Minutes",IF(G49&lt;=30,"Yes","No"),IF('MY PROFILE'!G10="1 Hour",IF(G49&lt;=60,"Yes","No"),IF('MY PROFILE'!G10="1.5 Hours",IF(G49&lt;=90,"Yes","No"),IF('MY PROFILE'!G10="2 Hours",IF(G49&lt;=120,"Yes","No"),IF('MY PROFILE'!G10="3 Hours",IF(G49&lt;=180,"Yes","No"),"No")))))))</f>
        <v/>
      </c>
      <c r="L49" s="111">
        <f>IF(G49=0,"Same City",IF(G49&lt;=30,"Short",IF(G49&lt;=90,"Medium",IF(G49&lt;=180,"Long","Very Long"))))</f>
        <v/>
      </c>
      <c r="M49" s="111">
        <f>'CALC ENGINE'!S46</f>
        <v/>
      </c>
    </row>
    <row r="50" ht="17" customHeight="1">
      <c r="B50" s="106" t="n">
        <v>45</v>
      </c>
      <c r="C50" s="107">
        <f>'CALC ENGINE'!B47</f>
        <v/>
      </c>
      <c r="D50" s="107">
        <f>'CALC ENGINE'!C47</f>
        <v/>
      </c>
      <c r="E50" s="107">
        <f>'CALC ENGINE'!D47</f>
        <v/>
      </c>
      <c r="F50" s="107">
        <f>'CALC ENGINE'!E47</f>
        <v/>
      </c>
      <c r="G50" s="108">
        <f>'CALC ENGINE'!T47</f>
        <v/>
      </c>
      <c r="H50" s="109">
        <f>IFERROR(SUMPRODUCT(($A$201:$A$293='MY PROFILE'!C10)*($B$201:$B$293=C50)*($C$201:$C$293)),0)</f>
        <v/>
      </c>
      <c r="I50" s="109">
        <f>IF(G50=999,"",G50*2)</f>
        <v/>
      </c>
      <c r="J50" s="109">
        <f>IF(G50=999,"",ROUND(G50*4/60,1)&amp;" hrs")</f>
        <v/>
      </c>
      <c r="K50" s="108">
        <f>IF(G50=999,"Unknown",IF('MY PROFILE'!G10="No Limit","Yes",IF('MY PROFILE'!G10="30 Minutes",IF(G50&lt;=30,"Yes","No"),IF('MY PROFILE'!G10="1 Hour",IF(G50&lt;=60,"Yes","No"),IF('MY PROFILE'!G10="1.5 Hours",IF(G50&lt;=90,"Yes","No"),IF('MY PROFILE'!G10="2 Hours",IF(G50&lt;=120,"Yes","No"),IF('MY PROFILE'!G10="3 Hours",IF(G50&lt;=180,"Yes","No"),"No")))))))</f>
        <v/>
      </c>
      <c r="L50" s="108">
        <f>IF(G50=0,"Same City",IF(G50&lt;=30,"Short",IF(G50&lt;=90,"Medium",IF(G50&lt;=180,"Long","Very Long"))))</f>
        <v/>
      </c>
      <c r="M50" s="108">
        <f>'CALC ENGINE'!S47</f>
        <v/>
      </c>
    </row>
    <row r="51" ht="17" customHeight="1">
      <c r="B51" s="106" t="n">
        <v>46</v>
      </c>
      <c r="C51" s="110">
        <f>'CALC ENGINE'!B48</f>
        <v/>
      </c>
      <c r="D51" s="110">
        <f>'CALC ENGINE'!C48</f>
        <v/>
      </c>
      <c r="E51" s="110">
        <f>'CALC ENGINE'!D48</f>
        <v/>
      </c>
      <c r="F51" s="110">
        <f>'CALC ENGINE'!E48</f>
        <v/>
      </c>
      <c r="G51" s="111">
        <f>'CALC ENGINE'!T48</f>
        <v/>
      </c>
      <c r="H51" s="112">
        <f>IFERROR(SUMPRODUCT(($A$201:$A$293='MY PROFILE'!C10)*($B$201:$B$293=C51)*($C$201:$C$293)),0)</f>
        <v/>
      </c>
      <c r="I51" s="112">
        <f>IF(G51=999,"",G51*2)</f>
        <v/>
      </c>
      <c r="J51" s="112">
        <f>IF(G51=999,"",ROUND(G51*4/60,1)&amp;" hrs")</f>
        <v/>
      </c>
      <c r="K51" s="111">
        <f>IF(G51=999,"Unknown",IF('MY PROFILE'!G10="No Limit","Yes",IF('MY PROFILE'!G10="30 Minutes",IF(G51&lt;=30,"Yes","No"),IF('MY PROFILE'!G10="1 Hour",IF(G51&lt;=60,"Yes","No"),IF('MY PROFILE'!G10="1.5 Hours",IF(G51&lt;=90,"Yes","No"),IF('MY PROFILE'!G10="2 Hours",IF(G51&lt;=120,"Yes","No"),IF('MY PROFILE'!G10="3 Hours",IF(G51&lt;=180,"Yes","No"),"No")))))))</f>
        <v/>
      </c>
      <c r="L51" s="111">
        <f>IF(G51=0,"Same City",IF(G51&lt;=30,"Short",IF(G51&lt;=90,"Medium",IF(G51&lt;=180,"Long","Very Long"))))</f>
        <v/>
      </c>
      <c r="M51" s="111">
        <f>'CALC ENGINE'!S48</f>
        <v/>
      </c>
    </row>
    <row r="52" ht="17" customHeight="1">
      <c r="B52" s="106" t="n">
        <v>47</v>
      </c>
      <c r="C52" s="107">
        <f>'CALC ENGINE'!B49</f>
        <v/>
      </c>
      <c r="D52" s="107">
        <f>'CALC ENGINE'!C49</f>
        <v/>
      </c>
      <c r="E52" s="107">
        <f>'CALC ENGINE'!D49</f>
        <v/>
      </c>
      <c r="F52" s="107">
        <f>'CALC ENGINE'!E49</f>
        <v/>
      </c>
      <c r="G52" s="108">
        <f>'CALC ENGINE'!T49</f>
        <v/>
      </c>
      <c r="H52" s="109">
        <f>IFERROR(SUMPRODUCT(($A$201:$A$293='MY PROFILE'!C10)*($B$201:$B$293=C52)*($C$201:$C$293)),0)</f>
        <v/>
      </c>
      <c r="I52" s="109">
        <f>IF(G52=999,"",G52*2)</f>
        <v/>
      </c>
      <c r="J52" s="109">
        <f>IF(G52=999,"",ROUND(G52*4/60,1)&amp;" hrs")</f>
        <v/>
      </c>
      <c r="K52" s="108">
        <f>IF(G52=999,"Unknown",IF('MY PROFILE'!G10="No Limit","Yes",IF('MY PROFILE'!G10="30 Minutes",IF(G52&lt;=30,"Yes","No"),IF('MY PROFILE'!G10="1 Hour",IF(G52&lt;=60,"Yes","No"),IF('MY PROFILE'!G10="1.5 Hours",IF(G52&lt;=90,"Yes","No"),IF('MY PROFILE'!G10="2 Hours",IF(G52&lt;=120,"Yes","No"),IF('MY PROFILE'!G10="3 Hours",IF(G52&lt;=180,"Yes","No"),"No")))))))</f>
        <v/>
      </c>
      <c r="L52" s="108">
        <f>IF(G52=0,"Same City",IF(G52&lt;=30,"Short",IF(G52&lt;=90,"Medium",IF(G52&lt;=180,"Long","Very Long"))))</f>
        <v/>
      </c>
      <c r="M52" s="108">
        <f>'CALC ENGINE'!S49</f>
        <v/>
      </c>
    </row>
    <row r="53" ht="17" customHeight="1">
      <c r="B53" s="106" t="n">
        <v>48</v>
      </c>
      <c r="C53" s="110">
        <f>'CALC ENGINE'!B50</f>
        <v/>
      </c>
      <c r="D53" s="110">
        <f>'CALC ENGINE'!C50</f>
        <v/>
      </c>
      <c r="E53" s="110">
        <f>'CALC ENGINE'!D50</f>
        <v/>
      </c>
      <c r="F53" s="110">
        <f>'CALC ENGINE'!E50</f>
        <v/>
      </c>
      <c r="G53" s="111">
        <f>'CALC ENGINE'!T50</f>
        <v/>
      </c>
      <c r="H53" s="112">
        <f>IFERROR(SUMPRODUCT(($A$201:$A$293='MY PROFILE'!C10)*($B$201:$B$293=C53)*($C$201:$C$293)),0)</f>
        <v/>
      </c>
      <c r="I53" s="112">
        <f>IF(G53=999,"",G53*2)</f>
        <v/>
      </c>
      <c r="J53" s="112">
        <f>IF(G53=999,"",ROUND(G53*4/60,1)&amp;" hrs")</f>
        <v/>
      </c>
      <c r="K53" s="111">
        <f>IF(G53=999,"Unknown",IF('MY PROFILE'!G10="No Limit","Yes",IF('MY PROFILE'!G10="30 Minutes",IF(G53&lt;=30,"Yes","No"),IF('MY PROFILE'!G10="1 Hour",IF(G53&lt;=60,"Yes","No"),IF('MY PROFILE'!G10="1.5 Hours",IF(G53&lt;=90,"Yes","No"),IF('MY PROFILE'!G10="2 Hours",IF(G53&lt;=120,"Yes","No"),IF('MY PROFILE'!G10="3 Hours",IF(G53&lt;=180,"Yes","No"),"No")))))))</f>
        <v/>
      </c>
      <c r="L53" s="111">
        <f>IF(G53=0,"Same City",IF(G53&lt;=30,"Short",IF(G53&lt;=90,"Medium",IF(G53&lt;=180,"Long","Very Long"))))</f>
        <v/>
      </c>
      <c r="M53" s="111">
        <f>'CALC ENGINE'!S50</f>
        <v/>
      </c>
    </row>
    <row r="54" ht="17" customHeight="1">
      <c r="B54" s="106" t="n">
        <v>49</v>
      </c>
      <c r="C54" s="107">
        <f>'CALC ENGINE'!B51</f>
        <v/>
      </c>
      <c r="D54" s="107">
        <f>'CALC ENGINE'!C51</f>
        <v/>
      </c>
      <c r="E54" s="107">
        <f>'CALC ENGINE'!D51</f>
        <v/>
      </c>
      <c r="F54" s="107">
        <f>'CALC ENGINE'!E51</f>
        <v/>
      </c>
      <c r="G54" s="108">
        <f>'CALC ENGINE'!T51</f>
        <v/>
      </c>
      <c r="H54" s="109">
        <f>IFERROR(SUMPRODUCT(($A$201:$A$293='MY PROFILE'!C10)*($B$201:$B$293=C54)*($C$201:$C$293)),0)</f>
        <v/>
      </c>
      <c r="I54" s="109">
        <f>IF(G54=999,"",G54*2)</f>
        <v/>
      </c>
      <c r="J54" s="109">
        <f>IF(G54=999,"",ROUND(G54*4/60,1)&amp;" hrs")</f>
        <v/>
      </c>
      <c r="K54" s="108">
        <f>IF(G54=999,"Unknown",IF('MY PROFILE'!G10="No Limit","Yes",IF('MY PROFILE'!G10="30 Minutes",IF(G54&lt;=30,"Yes","No"),IF('MY PROFILE'!G10="1 Hour",IF(G54&lt;=60,"Yes","No"),IF('MY PROFILE'!G10="1.5 Hours",IF(G54&lt;=90,"Yes","No"),IF('MY PROFILE'!G10="2 Hours",IF(G54&lt;=120,"Yes","No"),IF('MY PROFILE'!G10="3 Hours",IF(G54&lt;=180,"Yes","No"),"No")))))))</f>
        <v/>
      </c>
      <c r="L54" s="108">
        <f>IF(G54=0,"Same City",IF(G54&lt;=30,"Short",IF(G54&lt;=90,"Medium",IF(G54&lt;=180,"Long","Very Long"))))</f>
        <v/>
      </c>
      <c r="M54" s="108">
        <f>'CALC ENGINE'!S51</f>
        <v/>
      </c>
    </row>
    <row r="55" ht="17" customHeight="1">
      <c r="B55" s="106" t="n">
        <v>50</v>
      </c>
      <c r="C55" s="110">
        <f>'CALC ENGINE'!B52</f>
        <v/>
      </c>
      <c r="D55" s="110">
        <f>'CALC ENGINE'!C52</f>
        <v/>
      </c>
      <c r="E55" s="110">
        <f>'CALC ENGINE'!D52</f>
        <v/>
      </c>
      <c r="F55" s="110">
        <f>'CALC ENGINE'!E52</f>
        <v/>
      </c>
      <c r="G55" s="111">
        <f>'CALC ENGINE'!T52</f>
        <v/>
      </c>
      <c r="H55" s="112">
        <f>IFERROR(SUMPRODUCT(($A$201:$A$293='MY PROFILE'!C10)*($B$201:$B$293=C55)*($C$201:$C$293)),0)</f>
        <v/>
      </c>
      <c r="I55" s="112">
        <f>IF(G55=999,"",G55*2)</f>
        <v/>
      </c>
      <c r="J55" s="112">
        <f>IF(G55=999,"",ROUND(G55*4/60,1)&amp;" hrs")</f>
        <v/>
      </c>
      <c r="K55" s="111">
        <f>IF(G55=999,"Unknown",IF('MY PROFILE'!G10="No Limit","Yes",IF('MY PROFILE'!G10="30 Minutes",IF(G55&lt;=30,"Yes","No"),IF('MY PROFILE'!G10="1 Hour",IF(G55&lt;=60,"Yes","No"),IF('MY PROFILE'!G10="1.5 Hours",IF(G55&lt;=90,"Yes","No"),IF('MY PROFILE'!G10="2 Hours",IF(G55&lt;=120,"Yes","No"),IF('MY PROFILE'!G10="3 Hours",IF(G55&lt;=180,"Yes","No"),"No")))))))</f>
        <v/>
      </c>
      <c r="L55" s="111">
        <f>IF(G55=0,"Same City",IF(G55&lt;=30,"Short",IF(G55&lt;=90,"Medium",IF(G55&lt;=180,"Long","Very Long"))))</f>
        <v/>
      </c>
      <c r="M55" s="111">
        <f>'CALC ENGINE'!S52</f>
        <v/>
      </c>
    </row>
    <row r="56" ht="17" customHeight="1">
      <c r="B56" s="106" t="n">
        <v>51</v>
      </c>
      <c r="C56" s="107">
        <f>'CALC ENGINE'!B53</f>
        <v/>
      </c>
      <c r="D56" s="107">
        <f>'CALC ENGINE'!C53</f>
        <v/>
      </c>
      <c r="E56" s="107">
        <f>'CALC ENGINE'!D53</f>
        <v/>
      </c>
      <c r="F56" s="107">
        <f>'CALC ENGINE'!E53</f>
        <v/>
      </c>
      <c r="G56" s="108">
        <f>'CALC ENGINE'!T53</f>
        <v/>
      </c>
      <c r="H56" s="109">
        <f>IFERROR(SUMPRODUCT(($A$201:$A$293='MY PROFILE'!C10)*($B$201:$B$293=C56)*($C$201:$C$293)),0)</f>
        <v/>
      </c>
      <c r="I56" s="109">
        <f>IF(G56=999,"",G56*2)</f>
        <v/>
      </c>
      <c r="J56" s="109">
        <f>IF(G56=999,"",ROUND(G56*4/60,1)&amp;" hrs")</f>
        <v/>
      </c>
      <c r="K56" s="108">
        <f>IF(G56=999,"Unknown",IF('MY PROFILE'!G10="No Limit","Yes",IF('MY PROFILE'!G10="30 Minutes",IF(G56&lt;=30,"Yes","No"),IF('MY PROFILE'!G10="1 Hour",IF(G56&lt;=60,"Yes","No"),IF('MY PROFILE'!G10="1.5 Hours",IF(G56&lt;=90,"Yes","No"),IF('MY PROFILE'!G10="2 Hours",IF(G56&lt;=120,"Yes","No"),IF('MY PROFILE'!G10="3 Hours",IF(G56&lt;=180,"Yes","No"),"No")))))))</f>
        <v/>
      </c>
      <c r="L56" s="108">
        <f>IF(G56=0,"Same City",IF(G56&lt;=30,"Short",IF(G56&lt;=90,"Medium",IF(G56&lt;=180,"Long","Very Long"))))</f>
        <v/>
      </c>
      <c r="M56" s="108">
        <f>'CALC ENGINE'!S53</f>
        <v/>
      </c>
    </row>
    <row r="57" ht="17" customHeight="1">
      <c r="B57" s="106" t="n">
        <v>52</v>
      </c>
      <c r="C57" s="110">
        <f>'CALC ENGINE'!B54</f>
        <v/>
      </c>
      <c r="D57" s="110">
        <f>'CALC ENGINE'!C54</f>
        <v/>
      </c>
      <c r="E57" s="110">
        <f>'CALC ENGINE'!D54</f>
        <v/>
      </c>
      <c r="F57" s="110">
        <f>'CALC ENGINE'!E54</f>
        <v/>
      </c>
      <c r="G57" s="111">
        <f>'CALC ENGINE'!T54</f>
        <v/>
      </c>
      <c r="H57" s="112">
        <f>IFERROR(SUMPRODUCT(($A$201:$A$293='MY PROFILE'!C10)*($B$201:$B$293=C57)*($C$201:$C$293)),0)</f>
        <v/>
      </c>
      <c r="I57" s="112">
        <f>IF(G57=999,"",G57*2)</f>
        <v/>
      </c>
      <c r="J57" s="112">
        <f>IF(G57=999,"",ROUND(G57*4/60,1)&amp;" hrs")</f>
        <v/>
      </c>
      <c r="K57" s="111">
        <f>IF(G57=999,"Unknown",IF('MY PROFILE'!G10="No Limit","Yes",IF('MY PROFILE'!G10="30 Minutes",IF(G57&lt;=30,"Yes","No"),IF('MY PROFILE'!G10="1 Hour",IF(G57&lt;=60,"Yes","No"),IF('MY PROFILE'!G10="1.5 Hours",IF(G57&lt;=90,"Yes","No"),IF('MY PROFILE'!G10="2 Hours",IF(G57&lt;=120,"Yes","No"),IF('MY PROFILE'!G10="3 Hours",IF(G57&lt;=180,"Yes","No"),"No")))))))</f>
        <v/>
      </c>
      <c r="L57" s="111">
        <f>IF(G57=0,"Same City",IF(G57&lt;=30,"Short",IF(G57&lt;=90,"Medium",IF(G57&lt;=180,"Long","Very Long"))))</f>
        <v/>
      </c>
      <c r="M57" s="111">
        <f>'CALC ENGINE'!S54</f>
        <v/>
      </c>
    </row>
    <row r="58" ht="17" customHeight="1">
      <c r="B58" s="106" t="n">
        <v>53</v>
      </c>
      <c r="C58" s="107">
        <f>'CALC ENGINE'!B55</f>
        <v/>
      </c>
      <c r="D58" s="107">
        <f>'CALC ENGINE'!C55</f>
        <v/>
      </c>
      <c r="E58" s="107">
        <f>'CALC ENGINE'!D55</f>
        <v/>
      </c>
      <c r="F58" s="107">
        <f>'CALC ENGINE'!E55</f>
        <v/>
      </c>
      <c r="G58" s="108">
        <f>'CALC ENGINE'!T55</f>
        <v/>
      </c>
      <c r="H58" s="109">
        <f>IFERROR(SUMPRODUCT(($A$201:$A$293='MY PROFILE'!C10)*($B$201:$B$293=C58)*($C$201:$C$293)),0)</f>
        <v/>
      </c>
      <c r="I58" s="109">
        <f>IF(G58=999,"",G58*2)</f>
        <v/>
      </c>
      <c r="J58" s="109">
        <f>IF(G58=999,"",ROUND(G58*4/60,1)&amp;" hrs")</f>
        <v/>
      </c>
      <c r="K58" s="108">
        <f>IF(G58=999,"Unknown",IF('MY PROFILE'!G10="No Limit","Yes",IF('MY PROFILE'!G10="30 Minutes",IF(G58&lt;=30,"Yes","No"),IF('MY PROFILE'!G10="1 Hour",IF(G58&lt;=60,"Yes","No"),IF('MY PROFILE'!G10="1.5 Hours",IF(G58&lt;=90,"Yes","No"),IF('MY PROFILE'!G10="2 Hours",IF(G58&lt;=120,"Yes","No"),IF('MY PROFILE'!G10="3 Hours",IF(G58&lt;=180,"Yes","No"),"No")))))))</f>
        <v/>
      </c>
      <c r="L58" s="108">
        <f>IF(G58=0,"Same City",IF(G58&lt;=30,"Short",IF(G58&lt;=90,"Medium",IF(G58&lt;=180,"Long","Very Long"))))</f>
        <v/>
      </c>
      <c r="M58" s="108">
        <f>'CALC ENGINE'!S55</f>
        <v/>
      </c>
    </row>
    <row r="59" ht="17" customHeight="1">
      <c r="B59" s="106" t="n">
        <v>54</v>
      </c>
      <c r="C59" s="110">
        <f>'CALC ENGINE'!B56</f>
        <v/>
      </c>
      <c r="D59" s="110">
        <f>'CALC ENGINE'!C56</f>
        <v/>
      </c>
      <c r="E59" s="110">
        <f>'CALC ENGINE'!D56</f>
        <v/>
      </c>
      <c r="F59" s="110">
        <f>'CALC ENGINE'!E56</f>
        <v/>
      </c>
      <c r="G59" s="111">
        <f>'CALC ENGINE'!T56</f>
        <v/>
      </c>
      <c r="H59" s="112">
        <f>IFERROR(SUMPRODUCT(($A$201:$A$293='MY PROFILE'!C10)*($B$201:$B$293=C59)*($C$201:$C$293)),0)</f>
        <v/>
      </c>
      <c r="I59" s="112">
        <f>IF(G59=999,"",G59*2)</f>
        <v/>
      </c>
      <c r="J59" s="112">
        <f>IF(G59=999,"",ROUND(G59*4/60,1)&amp;" hrs")</f>
        <v/>
      </c>
      <c r="K59" s="111">
        <f>IF(G59=999,"Unknown",IF('MY PROFILE'!G10="No Limit","Yes",IF('MY PROFILE'!G10="30 Minutes",IF(G59&lt;=30,"Yes","No"),IF('MY PROFILE'!G10="1 Hour",IF(G59&lt;=60,"Yes","No"),IF('MY PROFILE'!G10="1.5 Hours",IF(G59&lt;=90,"Yes","No"),IF('MY PROFILE'!G10="2 Hours",IF(G59&lt;=120,"Yes","No"),IF('MY PROFILE'!G10="3 Hours",IF(G59&lt;=180,"Yes","No"),"No")))))))</f>
        <v/>
      </c>
      <c r="L59" s="111">
        <f>IF(G59=0,"Same City",IF(G59&lt;=30,"Short",IF(G59&lt;=90,"Medium",IF(G59&lt;=180,"Long","Very Long"))))</f>
        <v/>
      </c>
      <c r="M59" s="111">
        <f>'CALC ENGINE'!S56</f>
        <v/>
      </c>
    </row>
    <row r="60" ht="17" customHeight="1">
      <c r="B60" s="106" t="n">
        <v>55</v>
      </c>
      <c r="C60" s="107">
        <f>'CALC ENGINE'!B57</f>
        <v/>
      </c>
      <c r="D60" s="107">
        <f>'CALC ENGINE'!C57</f>
        <v/>
      </c>
      <c r="E60" s="107">
        <f>'CALC ENGINE'!D57</f>
        <v/>
      </c>
      <c r="F60" s="107">
        <f>'CALC ENGINE'!E57</f>
        <v/>
      </c>
      <c r="G60" s="108">
        <f>'CALC ENGINE'!T57</f>
        <v/>
      </c>
      <c r="H60" s="109">
        <f>IFERROR(SUMPRODUCT(($A$201:$A$293='MY PROFILE'!C10)*($B$201:$B$293=C60)*($C$201:$C$293)),0)</f>
        <v/>
      </c>
      <c r="I60" s="109">
        <f>IF(G60=999,"",G60*2)</f>
        <v/>
      </c>
      <c r="J60" s="109">
        <f>IF(G60=999,"",ROUND(G60*4/60,1)&amp;" hrs")</f>
        <v/>
      </c>
      <c r="K60" s="108">
        <f>IF(G60=999,"Unknown",IF('MY PROFILE'!G10="No Limit","Yes",IF('MY PROFILE'!G10="30 Minutes",IF(G60&lt;=30,"Yes","No"),IF('MY PROFILE'!G10="1 Hour",IF(G60&lt;=60,"Yes","No"),IF('MY PROFILE'!G10="1.5 Hours",IF(G60&lt;=90,"Yes","No"),IF('MY PROFILE'!G10="2 Hours",IF(G60&lt;=120,"Yes","No"),IF('MY PROFILE'!G10="3 Hours",IF(G60&lt;=180,"Yes","No"),"No")))))))</f>
        <v/>
      </c>
      <c r="L60" s="108">
        <f>IF(G60=0,"Same City",IF(G60&lt;=30,"Short",IF(G60&lt;=90,"Medium",IF(G60&lt;=180,"Long","Very Long"))))</f>
        <v/>
      </c>
      <c r="M60" s="108">
        <f>'CALC ENGINE'!S57</f>
        <v/>
      </c>
    </row>
    <row r="61" ht="17" customHeight="1">
      <c r="B61" s="106" t="n">
        <v>56</v>
      </c>
      <c r="C61" s="110">
        <f>'CALC ENGINE'!B58</f>
        <v/>
      </c>
      <c r="D61" s="110">
        <f>'CALC ENGINE'!C58</f>
        <v/>
      </c>
      <c r="E61" s="110">
        <f>'CALC ENGINE'!D58</f>
        <v/>
      </c>
      <c r="F61" s="110">
        <f>'CALC ENGINE'!E58</f>
        <v/>
      </c>
      <c r="G61" s="111">
        <f>'CALC ENGINE'!T58</f>
        <v/>
      </c>
      <c r="H61" s="112">
        <f>IFERROR(SUMPRODUCT(($A$201:$A$293='MY PROFILE'!C10)*($B$201:$B$293=C61)*($C$201:$C$293)),0)</f>
        <v/>
      </c>
      <c r="I61" s="112">
        <f>IF(G61=999,"",G61*2)</f>
        <v/>
      </c>
      <c r="J61" s="112">
        <f>IF(G61=999,"",ROUND(G61*4/60,1)&amp;" hrs")</f>
        <v/>
      </c>
      <c r="K61" s="111">
        <f>IF(G61=999,"Unknown",IF('MY PROFILE'!G10="No Limit","Yes",IF('MY PROFILE'!G10="30 Minutes",IF(G61&lt;=30,"Yes","No"),IF('MY PROFILE'!G10="1 Hour",IF(G61&lt;=60,"Yes","No"),IF('MY PROFILE'!G10="1.5 Hours",IF(G61&lt;=90,"Yes","No"),IF('MY PROFILE'!G10="2 Hours",IF(G61&lt;=120,"Yes","No"),IF('MY PROFILE'!G10="3 Hours",IF(G61&lt;=180,"Yes","No"),"No")))))))</f>
        <v/>
      </c>
      <c r="L61" s="111">
        <f>IF(G61=0,"Same City",IF(G61&lt;=30,"Short",IF(G61&lt;=90,"Medium",IF(G61&lt;=180,"Long","Very Long"))))</f>
        <v/>
      </c>
      <c r="M61" s="111">
        <f>'CALC ENGINE'!S58</f>
        <v/>
      </c>
    </row>
    <row r="62" ht="17" customHeight="1">
      <c r="B62" s="106" t="n">
        <v>57</v>
      </c>
      <c r="C62" s="107">
        <f>'CALC ENGINE'!B59</f>
        <v/>
      </c>
      <c r="D62" s="107">
        <f>'CALC ENGINE'!C59</f>
        <v/>
      </c>
      <c r="E62" s="107">
        <f>'CALC ENGINE'!D59</f>
        <v/>
      </c>
      <c r="F62" s="107">
        <f>'CALC ENGINE'!E59</f>
        <v/>
      </c>
      <c r="G62" s="108">
        <f>'CALC ENGINE'!T59</f>
        <v/>
      </c>
      <c r="H62" s="109">
        <f>IFERROR(SUMPRODUCT(($A$201:$A$293='MY PROFILE'!C10)*($B$201:$B$293=C62)*($C$201:$C$293)),0)</f>
        <v/>
      </c>
      <c r="I62" s="109">
        <f>IF(G62=999,"",G62*2)</f>
        <v/>
      </c>
      <c r="J62" s="109">
        <f>IF(G62=999,"",ROUND(G62*4/60,1)&amp;" hrs")</f>
        <v/>
      </c>
      <c r="K62" s="108">
        <f>IF(G62=999,"Unknown",IF('MY PROFILE'!G10="No Limit","Yes",IF('MY PROFILE'!G10="30 Minutes",IF(G62&lt;=30,"Yes","No"),IF('MY PROFILE'!G10="1 Hour",IF(G62&lt;=60,"Yes","No"),IF('MY PROFILE'!G10="1.5 Hours",IF(G62&lt;=90,"Yes","No"),IF('MY PROFILE'!G10="2 Hours",IF(G62&lt;=120,"Yes","No"),IF('MY PROFILE'!G10="3 Hours",IF(G62&lt;=180,"Yes","No"),"No")))))))</f>
        <v/>
      </c>
      <c r="L62" s="108">
        <f>IF(G62=0,"Same City",IF(G62&lt;=30,"Short",IF(G62&lt;=90,"Medium",IF(G62&lt;=180,"Long","Very Long"))))</f>
        <v/>
      </c>
      <c r="M62" s="108">
        <f>'CALC ENGINE'!S59</f>
        <v/>
      </c>
    </row>
    <row r="63" ht="17" customHeight="1">
      <c r="B63" s="106" t="n">
        <v>58</v>
      </c>
      <c r="C63" s="110">
        <f>'CALC ENGINE'!B60</f>
        <v/>
      </c>
      <c r="D63" s="110">
        <f>'CALC ENGINE'!C60</f>
        <v/>
      </c>
      <c r="E63" s="110">
        <f>'CALC ENGINE'!D60</f>
        <v/>
      </c>
      <c r="F63" s="110">
        <f>'CALC ENGINE'!E60</f>
        <v/>
      </c>
      <c r="G63" s="111">
        <f>'CALC ENGINE'!T60</f>
        <v/>
      </c>
      <c r="H63" s="112">
        <f>IFERROR(SUMPRODUCT(($A$201:$A$293='MY PROFILE'!C10)*($B$201:$B$293=C63)*($C$201:$C$293)),0)</f>
        <v/>
      </c>
      <c r="I63" s="112">
        <f>IF(G63=999,"",G63*2)</f>
        <v/>
      </c>
      <c r="J63" s="112">
        <f>IF(G63=999,"",ROUND(G63*4/60,1)&amp;" hrs")</f>
        <v/>
      </c>
      <c r="K63" s="111">
        <f>IF(G63=999,"Unknown",IF('MY PROFILE'!G10="No Limit","Yes",IF('MY PROFILE'!G10="30 Minutes",IF(G63&lt;=30,"Yes","No"),IF('MY PROFILE'!G10="1 Hour",IF(G63&lt;=60,"Yes","No"),IF('MY PROFILE'!G10="1.5 Hours",IF(G63&lt;=90,"Yes","No"),IF('MY PROFILE'!G10="2 Hours",IF(G63&lt;=120,"Yes","No"),IF('MY PROFILE'!G10="3 Hours",IF(G63&lt;=180,"Yes","No"),"No")))))))</f>
        <v/>
      </c>
      <c r="L63" s="111">
        <f>IF(G63=0,"Same City",IF(G63&lt;=30,"Short",IF(G63&lt;=90,"Medium",IF(G63&lt;=180,"Long","Very Long"))))</f>
        <v/>
      </c>
      <c r="M63" s="111">
        <f>'CALC ENGINE'!S60</f>
        <v/>
      </c>
    </row>
    <row r="64" ht="17" customHeight="1">
      <c r="B64" s="106" t="n">
        <v>59</v>
      </c>
      <c r="C64" s="107">
        <f>'CALC ENGINE'!B61</f>
        <v/>
      </c>
      <c r="D64" s="107">
        <f>'CALC ENGINE'!C61</f>
        <v/>
      </c>
      <c r="E64" s="107">
        <f>'CALC ENGINE'!D61</f>
        <v/>
      </c>
      <c r="F64" s="107">
        <f>'CALC ENGINE'!E61</f>
        <v/>
      </c>
      <c r="G64" s="108">
        <f>'CALC ENGINE'!T61</f>
        <v/>
      </c>
      <c r="H64" s="109">
        <f>IFERROR(SUMPRODUCT(($A$201:$A$293='MY PROFILE'!C10)*($B$201:$B$293=C64)*($C$201:$C$293)),0)</f>
        <v/>
      </c>
      <c r="I64" s="109">
        <f>IF(G64=999,"",G64*2)</f>
        <v/>
      </c>
      <c r="J64" s="109">
        <f>IF(G64=999,"",ROUND(G64*4/60,1)&amp;" hrs")</f>
        <v/>
      </c>
      <c r="K64" s="108">
        <f>IF(G64=999,"Unknown",IF('MY PROFILE'!G10="No Limit","Yes",IF('MY PROFILE'!G10="30 Minutes",IF(G64&lt;=30,"Yes","No"),IF('MY PROFILE'!G10="1 Hour",IF(G64&lt;=60,"Yes","No"),IF('MY PROFILE'!G10="1.5 Hours",IF(G64&lt;=90,"Yes","No"),IF('MY PROFILE'!G10="2 Hours",IF(G64&lt;=120,"Yes","No"),IF('MY PROFILE'!G10="3 Hours",IF(G64&lt;=180,"Yes","No"),"No")))))))</f>
        <v/>
      </c>
      <c r="L64" s="108">
        <f>IF(G64=0,"Same City",IF(G64&lt;=30,"Short",IF(G64&lt;=90,"Medium",IF(G64&lt;=180,"Long","Very Long"))))</f>
        <v/>
      </c>
      <c r="M64" s="108">
        <f>'CALC ENGINE'!S61</f>
        <v/>
      </c>
    </row>
    <row r="65" ht="17" customHeight="1">
      <c r="B65" s="106" t="n">
        <v>60</v>
      </c>
      <c r="C65" s="110">
        <f>'CALC ENGINE'!B62</f>
        <v/>
      </c>
      <c r="D65" s="110">
        <f>'CALC ENGINE'!C62</f>
        <v/>
      </c>
      <c r="E65" s="110">
        <f>'CALC ENGINE'!D62</f>
        <v/>
      </c>
      <c r="F65" s="110">
        <f>'CALC ENGINE'!E62</f>
        <v/>
      </c>
      <c r="G65" s="111">
        <f>'CALC ENGINE'!T62</f>
        <v/>
      </c>
      <c r="H65" s="112">
        <f>IFERROR(SUMPRODUCT(($A$201:$A$293='MY PROFILE'!C10)*($B$201:$B$293=C65)*($C$201:$C$293)),0)</f>
        <v/>
      </c>
      <c r="I65" s="112">
        <f>IF(G65=999,"",G65*2)</f>
        <v/>
      </c>
      <c r="J65" s="112">
        <f>IF(G65=999,"",ROUND(G65*4/60,1)&amp;" hrs")</f>
        <v/>
      </c>
      <c r="K65" s="111">
        <f>IF(G65=999,"Unknown",IF('MY PROFILE'!G10="No Limit","Yes",IF('MY PROFILE'!G10="30 Minutes",IF(G65&lt;=30,"Yes","No"),IF('MY PROFILE'!G10="1 Hour",IF(G65&lt;=60,"Yes","No"),IF('MY PROFILE'!G10="1.5 Hours",IF(G65&lt;=90,"Yes","No"),IF('MY PROFILE'!G10="2 Hours",IF(G65&lt;=120,"Yes","No"),IF('MY PROFILE'!G10="3 Hours",IF(G65&lt;=180,"Yes","No"),"No")))))))</f>
        <v/>
      </c>
      <c r="L65" s="111">
        <f>IF(G65=0,"Same City",IF(G65&lt;=30,"Short",IF(G65&lt;=90,"Medium",IF(G65&lt;=180,"Long","Very Long"))))</f>
        <v/>
      </c>
      <c r="M65" s="111">
        <f>'CALC ENGINE'!S62</f>
        <v/>
      </c>
    </row>
    <row r="66" ht="17" customHeight="1">
      <c r="B66" s="106" t="n">
        <v>61</v>
      </c>
      <c r="C66" s="107">
        <f>'CALC ENGINE'!B63</f>
        <v/>
      </c>
      <c r="D66" s="107">
        <f>'CALC ENGINE'!C63</f>
        <v/>
      </c>
      <c r="E66" s="107">
        <f>'CALC ENGINE'!D63</f>
        <v/>
      </c>
      <c r="F66" s="107">
        <f>'CALC ENGINE'!E63</f>
        <v/>
      </c>
      <c r="G66" s="108">
        <f>'CALC ENGINE'!T63</f>
        <v/>
      </c>
      <c r="H66" s="109">
        <f>IFERROR(SUMPRODUCT(($A$201:$A$293='MY PROFILE'!C10)*($B$201:$B$293=C66)*($C$201:$C$293)),0)</f>
        <v/>
      </c>
      <c r="I66" s="109">
        <f>IF(G66=999,"",G66*2)</f>
        <v/>
      </c>
      <c r="J66" s="109">
        <f>IF(G66=999,"",ROUND(G66*4/60,1)&amp;" hrs")</f>
        <v/>
      </c>
      <c r="K66" s="108">
        <f>IF(G66=999,"Unknown",IF('MY PROFILE'!G10="No Limit","Yes",IF('MY PROFILE'!G10="30 Minutes",IF(G66&lt;=30,"Yes","No"),IF('MY PROFILE'!G10="1 Hour",IF(G66&lt;=60,"Yes","No"),IF('MY PROFILE'!G10="1.5 Hours",IF(G66&lt;=90,"Yes","No"),IF('MY PROFILE'!G10="2 Hours",IF(G66&lt;=120,"Yes","No"),IF('MY PROFILE'!G10="3 Hours",IF(G66&lt;=180,"Yes","No"),"No")))))))</f>
        <v/>
      </c>
      <c r="L66" s="108">
        <f>IF(G66=0,"Same City",IF(G66&lt;=30,"Short",IF(G66&lt;=90,"Medium",IF(G66&lt;=180,"Long","Very Long"))))</f>
        <v/>
      </c>
      <c r="M66" s="108">
        <f>'CALC ENGINE'!S63</f>
        <v/>
      </c>
    </row>
    <row r="67" ht="17" customHeight="1">
      <c r="B67" s="106" t="n">
        <v>62</v>
      </c>
      <c r="C67" s="110">
        <f>'CALC ENGINE'!B64</f>
        <v/>
      </c>
      <c r="D67" s="110">
        <f>'CALC ENGINE'!C64</f>
        <v/>
      </c>
      <c r="E67" s="110">
        <f>'CALC ENGINE'!D64</f>
        <v/>
      </c>
      <c r="F67" s="110">
        <f>'CALC ENGINE'!E64</f>
        <v/>
      </c>
      <c r="G67" s="111">
        <f>'CALC ENGINE'!T64</f>
        <v/>
      </c>
      <c r="H67" s="112">
        <f>IFERROR(SUMPRODUCT(($A$201:$A$293='MY PROFILE'!C10)*($B$201:$B$293=C67)*($C$201:$C$293)),0)</f>
        <v/>
      </c>
      <c r="I67" s="112">
        <f>IF(G67=999,"",G67*2)</f>
        <v/>
      </c>
      <c r="J67" s="112">
        <f>IF(G67=999,"",ROUND(G67*4/60,1)&amp;" hrs")</f>
        <v/>
      </c>
      <c r="K67" s="111">
        <f>IF(G67=999,"Unknown",IF('MY PROFILE'!G10="No Limit","Yes",IF('MY PROFILE'!G10="30 Minutes",IF(G67&lt;=30,"Yes","No"),IF('MY PROFILE'!G10="1 Hour",IF(G67&lt;=60,"Yes","No"),IF('MY PROFILE'!G10="1.5 Hours",IF(G67&lt;=90,"Yes","No"),IF('MY PROFILE'!G10="2 Hours",IF(G67&lt;=120,"Yes","No"),IF('MY PROFILE'!G10="3 Hours",IF(G67&lt;=180,"Yes","No"),"No")))))))</f>
        <v/>
      </c>
      <c r="L67" s="111">
        <f>IF(G67=0,"Same City",IF(G67&lt;=30,"Short",IF(G67&lt;=90,"Medium",IF(G67&lt;=180,"Long","Very Long"))))</f>
        <v/>
      </c>
      <c r="M67" s="111">
        <f>'CALC ENGINE'!S64</f>
        <v/>
      </c>
    </row>
    <row r="68" ht="17" customHeight="1">
      <c r="B68" s="106" t="n">
        <v>63</v>
      </c>
      <c r="C68" s="107">
        <f>'CALC ENGINE'!B65</f>
        <v/>
      </c>
      <c r="D68" s="107">
        <f>'CALC ENGINE'!C65</f>
        <v/>
      </c>
      <c r="E68" s="107">
        <f>'CALC ENGINE'!D65</f>
        <v/>
      </c>
      <c r="F68" s="107">
        <f>'CALC ENGINE'!E65</f>
        <v/>
      </c>
      <c r="G68" s="108">
        <f>'CALC ENGINE'!T65</f>
        <v/>
      </c>
      <c r="H68" s="109">
        <f>IFERROR(SUMPRODUCT(($A$201:$A$293='MY PROFILE'!C10)*($B$201:$B$293=C68)*($C$201:$C$293)),0)</f>
        <v/>
      </c>
      <c r="I68" s="109">
        <f>IF(G68=999,"",G68*2)</f>
        <v/>
      </c>
      <c r="J68" s="109">
        <f>IF(G68=999,"",ROUND(G68*4/60,1)&amp;" hrs")</f>
        <v/>
      </c>
      <c r="K68" s="108">
        <f>IF(G68=999,"Unknown",IF('MY PROFILE'!G10="No Limit","Yes",IF('MY PROFILE'!G10="30 Minutes",IF(G68&lt;=30,"Yes","No"),IF('MY PROFILE'!G10="1 Hour",IF(G68&lt;=60,"Yes","No"),IF('MY PROFILE'!G10="1.5 Hours",IF(G68&lt;=90,"Yes","No"),IF('MY PROFILE'!G10="2 Hours",IF(G68&lt;=120,"Yes","No"),IF('MY PROFILE'!G10="3 Hours",IF(G68&lt;=180,"Yes","No"),"No")))))))</f>
        <v/>
      </c>
      <c r="L68" s="108">
        <f>IF(G68=0,"Same City",IF(G68&lt;=30,"Short",IF(G68&lt;=90,"Medium",IF(G68&lt;=180,"Long","Very Long"))))</f>
        <v/>
      </c>
      <c r="M68" s="108">
        <f>'CALC ENGINE'!S65</f>
        <v/>
      </c>
    </row>
    <row r="69" ht="17" customHeight="1">
      <c r="B69" s="106" t="n">
        <v>64</v>
      </c>
      <c r="C69" s="110">
        <f>'CALC ENGINE'!B66</f>
        <v/>
      </c>
      <c r="D69" s="110">
        <f>'CALC ENGINE'!C66</f>
        <v/>
      </c>
      <c r="E69" s="110">
        <f>'CALC ENGINE'!D66</f>
        <v/>
      </c>
      <c r="F69" s="110">
        <f>'CALC ENGINE'!E66</f>
        <v/>
      </c>
      <c r="G69" s="111">
        <f>'CALC ENGINE'!T66</f>
        <v/>
      </c>
      <c r="H69" s="112">
        <f>IFERROR(SUMPRODUCT(($A$201:$A$293='MY PROFILE'!C10)*($B$201:$B$293=C69)*($C$201:$C$293)),0)</f>
        <v/>
      </c>
      <c r="I69" s="112">
        <f>IF(G69=999,"",G69*2)</f>
        <v/>
      </c>
      <c r="J69" s="112">
        <f>IF(G69=999,"",ROUND(G69*4/60,1)&amp;" hrs")</f>
        <v/>
      </c>
      <c r="K69" s="111">
        <f>IF(G69=999,"Unknown",IF('MY PROFILE'!G10="No Limit","Yes",IF('MY PROFILE'!G10="30 Minutes",IF(G69&lt;=30,"Yes","No"),IF('MY PROFILE'!G10="1 Hour",IF(G69&lt;=60,"Yes","No"),IF('MY PROFILE'!G10="1.5 Hours",IF(G69&lt;=90,"Yes","No"),IF('MY PROFILE'!G10="2 Hours",IF(G69&lt;=120,"Yes","No"),IF('MY PROFILE'!G10="3 Hours",IF(G69&lt;=180,"Yes","No"),"No")))))))</f>
        <v/>
      </c>
      <c r="L69" s="111">
        <f>IF(G69=0,"Same City",IF(G69&lt;=30,"Short",IF(G69&lt;=90,"Medium",IF(G69&lt;=180,"Long","Very Long"))))</f>
        <v/>
      </c>
      <c r="M69" s="111">
        <f>'CALC ENGINE'!S66</f>
        <v/>
      </c>
    </row>
    <row r="70" ht="17" customHeight="1">
      <c r="B70" s="106" t="n">
        <v>65</v>
      </c>
      <c r="C70" s="107">
        <f>'CALC ENGINE'!B67</f>
        <v/>
      </c>
      <c r="D70" s="107">
        <f>'CALC ENGINE'!C67</f>
        <v/>
      </c>
      <c r="E70" s="107">
        <f>'CALC ENGINE'!D67</f>
        <v/>
      </c>
      <c r="F70" s="107">
        <f>'CALC ENGINE'!E67</f>
        <v/>
      </c>
      <c r="G70" s="108">
        <f>'CALC ENGINE'!T67</f>
        <v/>
      </c>
      <c r="H70" s="109">
        <f>IFERROR(SUMPRODUCT(($A$201:$A$293='MY PROFILE'!C10)*($B$201:$B$293=C70)*($C$201:$C$293)),0)</f>
        <v/>
      </c>
      <c r="I70" s="109">
        <f>IF(G70=999,"",G70*2)</f>
        <v/>
      </c>
      <c r="J70" s="109">
        <f>IF(G70=999,"",ROUND(G70*4/60,1)&amp;" hrs")</f>
        <v/>
      </c>
      <c r="K70" s="108">
        <f>IF(G70=999,"Unknown",IF('MY PROFILE'!G10="No Limit","Yes",IF('MY PROFILE'!G10="30 Minutes",IF(G70&lt;=30,"Yes","No"),IF('MY PROFILE'!G10="1 Hour",IF(G70&lt;=60,"Yes","No"),IF('MY PROFILE'!G10="1.5 Hours",IF(G70&lt;=90,"Yes","No"),IF('MY PROFILE'!G10="2 Hours",IF(G70&lt;=120,"Yes","No"),IF('MY PROFILE'!G10="3 Hours",IF(G70&lt;=180,"Yes","No"),"No")))))))</f>
        <v/>
      </c>
      <c r="L70" s="108">
        <f>IF(G70=0,"Same City",IF(G70&lt;=30,"Short",IF(G70&lt;=90,"Medium",IF(G70&lt;=180,"Long","Very Long"))))</f>
        <v/>
      </c>
      <c r="M70" s="108">
        <f>'CALC ENGINE'!S67</f>
        <v/>
      </c>
    </row>
    <row r="71" ht="17" customHeight="1">
      <c r="B71" s="106" t="n">
        <v>66</v>
      </c>
      <c r="C71" s="110">
        <f>'CALC ENGINE'!B68</f>
        <v/>
      </c>
      <c r="D71" s="110">
        <f>'CALC ENGINE'!C68</f>
        <v/>
      </c>
      <c r="E71" s="110">
        <f>'CALC ENGINE'!D68</f>
        <v/>
      </c>
      <c r="F71" s="110">
        <f>'CALC ENGINE'!E68</f>
        <v/>
      </c>
      <c r="G71" s="111">
        <f>'CALC ENGINE'!T68</f>
        <v/>
      </c>
      <c r="H71" s="112">
        <f>IFERROR(SUMPRODUCT(($A$201:$A$293='MY PROFILE'!C10)*($B$201:$B$293=C71)*($C$201:$C$293)),0)</f>
        <v/>
      </c>
      <c r="I71" s="112">
        <f>IF(G71=999,"",G71*2)</f>
        <v/>
      </c>
      <c r="J71" s="112">
        <f>IF(G71=999,"",ROUND(G71*4/60,1)&amp;" hrs")</f>
        <v/>
      </c>
      <c r="K71" s="111">
        <f>IF(G71=999,"Unknown",IF('MY PROFILE'!G10="No Limit","Yes",IF('MY PROFILE'!G10="30 Minutes",IF(G71&lt;=30,"Yes","No"),IF('MY PROFILE'!G10="1 Hour",IF(G71&lt;=60,"Yes","No"),IF('MY PROFILE'!G10="1.5 Hours",IF(G71&lt;=90,"Yes","No"),IF('MY PROFILE'!G10="2 Hours",IF(G71&lt;=120,"Yes","No"),IF('MY PROFILE'!G10="3 Hours",IF(G71&lt;=180,"Yes","No"),"No")))))))</f>
        <v/>
      </c>
      <c r="L71" s="111">
        <f>IF(G71=0,"Same City",IF(G71&lt;=30,"Short",IF(G71&lt;=90,"Medium",IF(G71&lt;=180,"Long","Very Long"))))</f>
        <v/>
      </c>
      <c r="M71" s="111">
        <f>'CALC ENGINE'!S68</f>
        <v/>
      </c>
    </row>
    <row r="72" ht="17" customHeight="1">
      <c r="B72" s="106" t="n">
        <v>67</v>
      </c>
      <c r="C72" s="107">
        <f>'CALC ENGINE'!B69</f>
        <v/>
      </c>
      <c r="D72" s="107">
        <f>'CALC ENGINE'!C69</f>
        <v/>
      </c>
      <c r="E72" s="107">
        <f>'CALC ENGINE'!D69</f>
        <v/>
      </c>
      <c r="F72" s="107">
        <f>'CALC ENGINE'!E69</f>
        <v/>
      </c>
      <c r="G72" s="108">
        <f>'CALC ENGINE'!T69</f>
        <v/>
      </c>
      <c r="H72" s="109">
        <f>IFERROR(SUMPRODUCT(($A$201:$A$293='MY PROFILE'!C10)*($B$201:$B$293=C72)*($C$201:$C$293)),0)</f>
        <v/>
      </c>
      <c r="I72" s="109">
        <f>IF(G72=999,"",G72*2)</f>
        <v/>
      </c>
      <c r="J72" s="109">
        <f>IF(G72=999,"",ROUND(G72*4/60,1)&amp;" hrs")</f>
        <v/>
      </c>
      <c r="K72" s="108">
        <f>IF(G72=999,"Unknown",IF('MY PROFILE'!G10="No Limit","Yes",IF('MY PROFILE'!G10="30 Minutes",IF(G72&lt;=30,"Yes","No"),IF('MY PROFILE'!G10="1 Hour",IF(G72&lt;=60,"Yes","No"),IF('MY PROFILE'!G10="1.5 Hours",IF(G72&lt;=90,"Yes","No"),IF('MY PROFILE'!G10="2 Hours",IF(G72&lt;=120,"Yes","No"),IF('MY PROFILE'!G10="3 Hours",IF(G72&lt;=180,"Yes","No"),"No")))))))</f>
        <v/>
      </c>
      <c r="L72" s="108">
        <f>IF(G72=0,"Same City",IF(G72&lt;=30,"Short",IF(G72&lt;=90,"Medium",IF(G72&lt;=180,"Long","Very Long"))))</f>
        <v/>
      </c>
      <c r="M72" s="108">
        <f>'CALC ENGINE'!S69</f>
        <v/>
      </c>
    </row>
    <row r="73" ht="17" customHeight="1">
      <c r="B73" s="106" t="n">
        <v>68</v>
      </c>
      <c r="C73" s="110">
        <f>'CALC ENGINE'!B70</f>
        <v/>
      </c>
      <c r="D73" s="110">
        <f>'CALC ENGINE'!C70</f>
        <v/>
      </c>
      <c r="E73" s="110">
        <f>'CALC ENGINE'!D70</f>
        <v/>
      </c>
      <c r="F73" s="110">
        <f>'CALC ENGINE'!E70</f>
        <v/>
      </c>
      <c r="G73" s="111">
        <f>'CALC ENGINE'!T70</f>
        <v/>
      </c>
      <c r="H73" s="112">
        <f>IFERROR(SUMPRODUCT(($A$201:$A$293='MY PROFILE'!C10)*($B$201:$B$293=C73)*($C$201:$C$293)),0)</f>
        <v/>
      </c>
      <c r="I73" s="112">
        <f>IF(G73=999,"",G73*2)</f>
        <v/>
      </c>
      <c r="J73" s="112">
        <f>IF(G73=999,"",ROUND(G73*4/60,1)&amp;" hrs")</f>
        <v/>
      </c>
      <c r="K73" s="111">
        <f>IF(G73=999,"Unknown",IF('MY PROFILE'!G10="No Limit","Yes",IF('MY PROFILE'!G10="30 Minutes",IF(G73&lt;=30,"Yes","No"),IF('MY PROFILE'!G10="1 Hour",IF(G73&lt;=60,"Yes","No"),IF('MY PROFILE'!G10="1.5 Hours",IF(G73&lt;=90,"Yes","No"),IF('MY PROFILE'!G10="2 Hours",IF(G73&lt;=120,"Yes","No"),IF('MY PROFILE'!G10="3 Hours",IF(G73&lt;=180,"Yes","No"),"No")))))))</f>
        <v/>
      </c>
      <c r="L73" s="111">
        <f>IF(G73=0,"Same City",IF(G73&lt;=30,"Short",IF(G73&lt;=90,"Medium",IF(G73&lt;=180,"Long","Very Long"))))</f>
        <v/>
      </c>
      <c r="M73" s="111">
        <f>'CALC ENGINE'!S70</f>
        <v/>
      </c>
    </row>
    <row r="74" ht="17" customHeight="1">
      <c r="B74" s="106" t="n">
        <v>69</v>
      </c>
      <c r="C74" s="107">
        <f>'CALC ENGINE'!B71</f>
        <v/>
      </c>
      <c r="D74" s="107">
        <f>'CALC ENGINE'!C71</f>
        <v/>
      </c>
      <c r="E74" s="107">
        <f>'CALC ENGINE'!D71</f>
        <v/>
      </c>
      <c r="F74" s="107">
        <f>'CALC ENGINE'!E71</f>
        <v/>
      </c>
      <c r="G74" s="108">
        <f>'CALC ENGINE'!T71</f>
        <v/>
      </c>
      <c r="H74" s="109">
        <f>IFERROR(SUMPRODUCT(($A$201:$A$293='MY PROFILE'!C10)*($B$201:$B$293=C74)*($C$201:$C$293)),0)</f>
        <v/>
      </c>
      <c r="I74" s="109">
        <f>IF(G74=999,"",G74*2)</f>
        <v/>
      </c>
      <c r="J74" s="109">
        <f>IF(G74=999,"",ROUND(G74*4/60,1)&amp;" hrs")</f>
        <v/>
      </c>
      <c r="K74" s="108">
        <f>IF(G74=999,"Unknown",IF('MY PROFILE'!G10="No Limit","Yes",IF('MY PROFILE'!G10="30 Minutes",IF(G74&lt;=30,"Yes","No"),IF('MY PROFILE'!G10="1 Hour",IF(G74&lt;=60,"Yes","No"),IF('MY PROFILE'!G10="1.5 Hours",IF(G74&lt;=90,"Yes","No"),IF('MY PROFILE'!G10="2 Hours",IF(G74&lt;=120,"Yes","No"),IF('MY PROFILE'!G10="3 Hours",IF(G74&lt;=180,"Yes","No"),"No")))))))</f>
        <v/>
      </c>
      <c r="L74" s="108">
        <f>IF(G74=0,"Same City",IF(G74&lt;=30,"Short",IF(G74&lt;=90,"Medium",IF(G74&lt;=180,"Long","Very Long"))))</f>
        <v/>
      </c>
      <c r="M74" s="108">
        <f>'CALC ENGINE'!S71</f>
        <v/>
      </c>
    </row>
    <row r="75" ht="17" customHeight="1">
      <c r="B75" s="106" t="n">
        <v>70</v>
      </c>
      <c r="C75" s="110">
        <f>'CALC ENGINE'!B72</f>
        <v/>
      </c>
      <c r="D75" s="110">
        <f>'CALC ENGINE'!C72</f>
        <v/>
      </c>
      <c r="E75" s="110">
        <f>'CALC ENGINE'!D72</f>
        <v/>
      </c>
      <c r="F75" s="110">
        <f>'CALC ENGINE'!E72</f>
        <v/>
      </c>
      <c r="G75" s="111">
        <f>'CALC ENGINE'!T72</f>
        <v/>
      </c>
      <c r="H75" s="112">
        <f>IFERROR(SUMPRODUCT(($A$201:$A$293='MY PROFILE'!C10)*($B$201:$B$293=C75)*($C$201:$C$293)),0)</f>
        <v/>
      </c>
      <c r="I75" s="112">
        <f>IF(G75=999,"",G75*2)</f>
        <v/>
      </c>
      <c r="J75" s="112">
        <f>IF(G75=999,"",ROUND(G75*4/60,1)&amp;" hrs")</f>
        <v/>
      </c>
      <c r="K75" s="111">
        <f>IF(G75=999,"Unknown",IF('MY PROFILE'!G10="No Limit","Yes",IF('MY PROFILE'!G10="30 Minutes",IF(G75&lt;=30,"Yes","No"),IF('MY PROFILE'!G10="1 Hour",IF(G75&lt;=60,"Yes","No"),IF('MY PROFILE'!G10="1.5 Hours",IF(G75&lt;=90,"Yes","No"),IF('MY PROFILE'!G10="2 Hours",IF(G75&lt;=120,"Yes","No"),IF('MY PROFILE'!G10="3 Hours",IF(G75&lt;=180,"Yes","No"),"No")))))))</f>
        <v/>
      </c>
      <c r="L75" s="111">
        <f>IF(G75=0,"Same City",IF(G75&lt;=30,"Short",IF(G75&lt;=90,"Medium",IF(G75&lt;=180,"Long","Very Long"))))</f>
        <v/>
      </c>
      <c r="M75" s="111">
        <f>'CALC ENGINE'!S72</f>
        <v/>
      </c>
    </row>
    <row r="76" ht="17" customHeight="1">
      <c r="B76" s="106" t="n">
        <v>71</v>
      </c>
      <c r="C76" s="107">
        <f>'CALC ENGINE'!B73</f>
        <v/>
      </c>
      <c r="D76" s="107">
        <f>'CALC ENGINE'!C73</f>
        <v/>
      </c>
      <c r="E76" s="107">
        <f>'CALC ENGINE'!D73</f>
        <v/>
      </c>
      <c r="F76" s="107">
        <f>'CALC ENGINE'!E73</f>
        <v/>
      </c>
      <c r="G76" s="108">
        <f>'CALC ENGINE'!T73</f>
        <v/>
      </c>
      <c r="H76" s="109">
        <f>IFERROR(SUMPRODUCT(($A$201:$A$293='MY PROFILE'!C10)*($B$201:$B$293=C76)*($C$201:$C$293)),0)</f>
        <v/>
      </c>
      <c r="I76" s="109">
        <f>IF(G76=999,"",G76*2)</f>
        <v/>
      </c>
      <c r="J76" s="109">
        <f>IF(G76=999,"",ROUND(G76*4/60,1)&amp;" hrs")</f>
        <v/>
      </c>
      <c r="K76" s="108">
        <f>IF(G76=999,"Unknown",IF('MY PROFILE'!G10="No Limit","Yes",IF('MY PROFILE'!G10="30 Minutes",IF(G76&lt;=30,"Yes","No"),IF('MY PROFILE'!G10="1 Hour",IF(G76&lt;=60,"Yes","No"),IF('MY PROFILE'!G10="1.5 Hours",IF(G76&lt;=90,"Yes","No"),IF('MY PROFILE'!G10="2 Hours",IF(G76&lt;=120,"Yes","No"),IF('MY PROFILE'!G10="3 Hours",IF(G76&lt;=180,"Yes","No"),"No")))))))</f>
        <v/>
      </c>
      <c r="L76" s="108">
        <f>IF(G76=0,"Same City",IF(G76&lt;=30,"Short",IF(G76&lt;=90,"Medium",IF(G76&lt;=180,"Long","Very Long"))))</f>
        <v/>
      </c>
      <c r="M76" s="108">
        <f>'CALC ENGINE'!S73</f>
        <v/>
      </c>
    </row>
    <row r="77" ht="17" customHeight="1">
      <c r="B77" s="106" t="n">
        <v>72</v>
      </c>
      <c r="C77" s="110">
        <f>'CALC ENGINE'!B74</f>
        <v/>
      </c>
      <c r="D77" s="110">
        <f>'CALC ENGINE'!C74</f>
        <v/>
      </c>
      <c r="E77" s="110">
        <f>'CALC ENGINE'!D74</f>
        <v/>
      </c>
      <c r="F77" s="110">
        <f>'CALC ENGINE'!E74</f>
        <v/>
      </c>
      <c r="G77" s="111">
        <f>'CALC ENGINE'!T74</f>
        <v/>
      </c>
      <c r="H77" s="112">
        <f>IFERROR(SUMPRODUCT(($A$201:$A$293='MY PROFILE'!C10)*($B$201:$B$293=C77)*($C$201:$C$293)),0)</f>
        <v/>
      </c>
      <c r="I77" s="112">
        <f>IF(G77=999,"",G77*2)</f>
        <v/>
      </c>
      <c r="J77" s="112">
        <f>IF(G77=999,"",ROUND(G77*4/60,1)&amp;" hrs")</f>
        <v/>
      </c>
      <c r="K77" s="111">
        <f>IF(G77=999,"Unknown",IF('MY PROFILE'!G10="No Limit","Yes",IF('MY PROFILE'!G10="30 Minutes",IF(G77&lt;=30,"Yes","No"),IF('MY PROFILE'!G10="1 Hour",IF(G77&lt;=60,"Yes","No"),IF('MY PROFILE'!G10="1.5 Hours",IF(G77&lt;=90,"Yes","No"),IF('MY PROFILE'!G10="2 Hours",IF(G77&lt;=120,"Yes","No"),IF('MY PROFILE'!G10="3 Hours",IF(G77&lt;=180,"Yes","No"),"No")))))))</f>
        <v/>
      </c>
      <c r="L77" s="111">
        <f>IF(G77=0,"Same City",IF(G77&lt;=30,"Short",IF(G77&lt;=90,"Medium",IF(G77&lt;=180,"Long","Very Long"))))</f>
        <v/>
      </c>
      <c r="M77" s="111">
        <f>'CALC ENGINE'!S74</f>
        <v/>
      </c>
    </row>
    <row r="78" ht="17" customHeight="1">
      <c r="B78" s="106" t="n">
        <v>73</v>
      </c>
      <c r="C78" s="107">
        <f>'CALC ENGINE'!B75</f>
        <v/>
      </c>
      <c r="D78" s="107">
        <f>'CALC ENGINE'!C75</f>
        <v/>
      </c>
      <c r="E78" s="107">
        <f>'CALC ENGINE'!D75</f>
        <v/>
      </c>
      <c r="F78" s="107">
        <f>'CALC ENGINE'!E75</f>
        <v/>
      </c>
      <c r="G78" s="108">
        <f>'CALC ENGINE'!T75</f>
        <v/>
      </c>
      <c r="H78" s="109">
        <f>IFERROR(SUMPRODUCT(($A$201:$A$293='MY PROFILE'!C10)*($B$201:$B$293=C78)*($C$201:$C$293)),0)</f>
        <v/>
      </c>
      <c r="I78" s="109">
        <f>IF(G78=999,"",G78*2)</f>
        <v/>
      </c>
      <c r="J78" s="109">
        <f>IF(G78=999,"",ROUND(G78*4/60,1)&amp;" hrs")</f>
        <v/>
      </c>
      <c r="K78" s="108">
        <f>IF(G78=999,"Unknown",IF('MY PROFILE'!G10="No Limit","Yes",IF('MY PROFILE'!G10="30 Minutes",IF(G78&lt;=30,"Yes","No"),IF('MY PROFILE'!G10="1 Hour",IF(G78&lt;=60,"Yes","No"),IF('MY PROFILE'!G10="1.5 Hours",IF(G78&lt;=90,"Yes","No"),IF('MY PROFILE'!G10="2 Hours",IF(G78&lt;=120,"Yes","No"),IF('MY PROFILE'!G10="3 Hours",IF(G78&lt;=180,"Yes","No"),"No")))))))</f>
        <v/>
      </c>
      <c r="L78" s="108">
        <f>IF(G78=0,"Same City",IF(G78&lt;=30,"Short",IF(G78&lt;=90,"Medium",IF(G78&lt;=180,"Long","Very Long"))))</f>
        <v/>
      </c>
      <c r="M78" s="108">
        <f>'CALC ENGINE'!S75</f>
        <v/>
      </c>
    </row>
    <row r="79" ht="17" customHeight="1">
      <c r="B79" s="106" t="n">
        <v>74</v>
      </c>
      <c r="C79" s="110">
        <f>'CALC ENGINE'!B76</f>
        <v/>
      </c>
      <c r="D79" s="110">
        <f>'CALC ENGINE'!C76</f>
        <v/>
      </c>
      <c r="E79" s="110">
        <f>'CALC ENGINE'!D76</f>
        <v/>
      </c>
      <c r="F79" s="110">
        <f>'CALC ENGINE'!E76</f>
        <v/>
      </c>
      <c r="G79" s="111">
        <f>'CALC ENGINE'!T76</f>
        <v/>
      </c>
      <c r="H79" s="112">
        <f>IFERROR(SUMPRODUCT(($A$201:$A$293='MY PROFILE'!C10)*($B$201:$B$293=C79)*($C$201:$C$293)),0)</f>
        <v/>
      </c>
      <c r="I79" s="112">
        <f>IF(G79=999,"",G79*2)</f>
        <v/>
      </c>
      <c r="J79" s="112">
        <f>IF(G79=999,"",ROUND(G79*4/60,1)&amp;" hrs")</f>
        <v/>
      </c>
      <c r="K79" s="111">
        <f>IF(G79=999,"Unknown",IF('MY PROFILE'!G10="No Limit","Yes",IF('MY PROFILE'!G10="30 Minutes",IF(G79&lt;=30,"Yes","No"),IF('MY PROFILE'!G10="1 Hour",IF(G79&lt;=60,"Yes","No"),IF('MY PROFILE'!G10="1.5 Hours",IF(G79&lt;=90,"Yes","No"),IF('MY PROFILE'!G10="2 Hours",IF(G79&lt;=120,"Yes","No"),IF('MY PROFILE'!G10="3 Hours",IF(G79&lt;=180,"Yes","No"),"No")))))))</f>
        <v/>
      </c>
      <c r="L79" s="111">
        <f>IF(G79=0,"Same City",IF(G79&lt;=30,"Short",IF(G79&lt;=90,"Medium",IF(G79&lt;=180,"Long","Very Long"))))</f>
        <v/>
      </c>
      <c r="M79" s="111">
        <f>'CALC ENGINE'!S76</f>
        <v/>
      </c>
    </row>
    <row r="80" ht="17" customHeight="1">
      <c r="B80" s="106" t="n">
        <v>75</v>
      </c>
      <c r="C80" s="107">
        <f>'CALC ENGINE'!B77</f>
        <v/>
      </c>
      <c r="D80" s="107">
        <f>'CALC ENGINE'!C77</f>
        <v/>
      </c>
      <c r="E80" s="107">
        <f>'CALC ENGINE'!D77</f>
        <v/>
      </c>
      <c r="F80" s="107">
        <f>'CALC ENGINE'!E77</f>
        <v/>
      </c>
      <c r="G80" s="108">
        <f>'CALC ENGINE'!T77</f>
        <v/>
      </c>
      <c r="H80" s="109">
        <f>IFERROR(SUMPRODUCT(($A$201:$A$293='MY PROFILE'!C10)*($B$201:$B$293=C80)*($C$201:$C$293)),0)</f>
        <v/>
      </c>
      <c r="I80" s="109">
        <f>IF(G80=999,"",G80*2)</f>
        <v/>
      </c>
      <c r="J80" s="109">
        <f>IF(G80=999,"",ROUND(G80*4/60,1)&amp;" hrs")</f>
        <v/>
      </c>
      <c r="K80" s="108">
        <f>IF(G80=999,"Unknown",IF('MY PROFILE'!G10="No Limit","Yes",IF('MY PROFILE'!G10="30 Minutes",IF(G80&lt;=30,"Yes","No"),IF('MY PROFILE'!G10="1 Hour",IF(G80&lt;=60,"Yes","No"),IF('MY PROFILE'!G10="1.5 Hours",IF(G80&lt;=90,"Yes","No"),IF('MY PROFILE'!G10="2 Hours",IF(G80&lt;=120,"Yes","No"),IF('MY PROFILE'!G10="3 Hours",IF(G80&lt;=180,"Yes","No"),"No")))))))</f>
        <v/>
      </c>
      <c r="L80" s="108">
        <f>IF(G80=0,"Same City",IF(G80&lt;=30,"Short",IF(G80&lt;=90,"Medium",IF(G80&lt;=180,"Long","Very Long"))))</f>
        <v/>
      </c>
      <c r="M80" s="108">
        <f>'CALC ENGINE'!S77</f>
        <v/>
      </c>
    </row>
    <row r="81" ht="17" customHeight="1">
      <c r="B81" s="106" t="n">
        <v>76</v>
      </c>
      <c r="C81" s="110">
        <f>'CALC ENGINE'!B78</f>
        <v/>
      </c>
      <c r="D81" s="110">
        <f>'CALC ENGINE'!C78</f>
        <v/>
      </c>
      <c r="E81" s="110">
        <f>'CALC ENGINE'!D78</f>
        <v/>
      </c>
      <c r="F81" s="110">
        <f>'CALC ENGINE'!E78</f>
        <v/>
      </c>
      <c r="G81" s="111">
        <f>'CALC ENGINE'!T78</f>
        <v/>
      </c>
      <c r="H81" s="112">
        <f>IFERROR(SUMPRODUCT(($A$201:$A$293='MY PROFILE'!C10)*($B$201:$B$293=C81)*($C$201:$C$293)),0)</f>
        <v/>
      </c>
      <c r="I81" s="112">
        <f>IF(G81=999,"",G81*2)</f>
        <v/>
      </c>
      <c r="J81" s="112">
        <f>IF(G81=999,"",ROUND(G81*4/60,1)&amp;" hrs")</f>
        <v/>
      </c>
      <c r="K81" s="111">
        <f>IF(G81=999,"Unknown",IF('MY PROFILE'!G10="No Limit","Yes",IF('MY PROFILE'!G10="30 Minutes",IF(G81&lt;=30,"Yes","No"),IF('MY PROFILE'!G10="1 Hour",IF(G81&lt;=60,"Yes","No"),IF('MY PROFILE'!G10="1.5 Hours",IF(G81&lt;=90,"Yes","No"),IF('MY PROFILE'!G10="2 Hours",IF(G81&lt;=120,"Yes","No"),IF('MY PROFILE'!G10="3 Hours",IF(G81&lt;=180,"Yes","No"),"No")))))))</f>
        <v/>
      </c>
      <c r="L81" s="111">
        <f>IF(G81=0,"Same City",IF(G81&lt;=30,"Short",IF(G81&lt;=90,"Medium",IF(G81&lt;=180,"Long","Very Long"))))</f>
        <v/>
      </c>
      <c r="M81" s="111">
        <f>'CALC ENGINE'!S78</f>
        <v/>
      </c>
    </row>
    <row r="82" ht="17" customHeight="1">
      <c r="B82" s="106" t="n">
        <v>77</v>
      </c>
      <c r="C82" s="107">
        <f>'CALC ENGINE'!B79</f>
        <v/>
      </c>
      <c r="D82" s="107">
        <f>'CALC ENGINE'!C79</f>
        <v/>
      </c>
      <c r="E82" s="107">
        <f>'CALC ENGINE'!D79</f>
        <v/>
      </c>
      <c r="F82" s="107">
        <f>'CALC ENGINE'!E79</f>
        <v/>
      </c>
      <c r="G82" s="108">
        <f>'CALC ENGINE'!T79</f>
        <v/>
      </c>
      <c r="H82" s="109">
        <f>IFERROR(SUMPRODUCT(($A$201:$A$293='MY PROFILE'!C10)*($B$201:$B$293=C82)*($C$201:$C$293)),0)</f>
        <v/>
      </c>
      <c r="I82" s="109">
        <f>IF(G82=999,"",G82*2)</f>
        <v/>
      </c>
      <c r="J82" s="109">
        <f>IF(G82=999,"",ROUND(G82*4/60,1)&amp;" hrs")</f>
        <v/>
      </c>
      <c r="K82" s="108">
        <f>IF(G82=999,"Unknown",IF('MY PROFILE'!G10="No Limit","Yes",IF('MY PROFILE'!G10="30 Minutes",IF(G82&lt;=30,"Yes","No"),IF('MY PROFILE'!G10="1 Hour",IF(G82&lt;=60,"Yes","No"),IF('MY PROFILE'!G10="1.5 Hours",IF(G82&lt;=90,"Yes","No"),IF('MY PROFILE'!G10="2 Hours",IF(G82&lt;=120,"Yes","No"),IF('MY PROFILE'!G10="3 Hours",IF(G82&lt;=180,"Yes","No"),"No")))))))</f>
        <v/>
      </c>
      <c r="L82" s="108">
        <f>IF(G82=0,"Same City",IF(G82&lt;=30,"Short",IF(G82&lt;=90,"Medium",IF(G82&lt;=180,"Long","Very Long"))))</f>
        <v/>
      </c>
      <c r="M82" s="108">
        <f>'CALC ENGINE'!S79</f>
        <v/>
      </c>
    </row>
    <row r="83" ht="17" customHeight="1">
      <c r="B83" s="106" t="n">
        <v>78</v>
      </c>
      <c r="C83" s="110">
        <f>'CALC ENGINE'!B80</f>
        <v/>
      </c>
      <c r="D83" s="110">
        <f>'CALC ENGINE'!C80</f>
        <v/>
      </c>
      <c r="E83" s="110">
        <f>'CALC ENGINE'!D80</f>
        <v/>
      </c>
      <c r="F83" s="110">
        <f>'CALC ENGINE'!E80</f>
        <v/>
      </c>
      <c r="G83" s="111">
        <f>'CALC ENGINE'!T80</f>
        <v/>
      </c>
      <c r="H83" s="112">
        <f>IFERROR(SUMPRODUCT(($A$201:$A$293='MY PROFILE'!C10)*($B$201:$B$293=C83)*($C$201:$C$293)),0)</f>
        <v/>
      </c>
      <c r="I83" s="112">
        <f>IF(G83=999,"",G83*2)</f>
        <v/>
      </c>
      <c r="J83" s="112">
        <f>IF(G83=999,"",ROUND(G83*4/60,1)&amp;" hrs")</f>
        <v/>
      </c>
      <c r="K83" s="111">
        <f>IF(G83=999,"Unknown",IF('MY PROFILE'!G10="No Limit","Yes",IF('MY PROFILE'!G10="30 Minutes",IF(G83&lt;=30,"Yes","No"),IF('MY PROFILE'!G10="1 Hour",IF(G83&lt;=60,"Yes","No"),IF('MY PROFILE'!G10="1.5 Hours",IF(G83&lt;=90,"Yes","No"),IF('MY PROFILE'!G10="2 Hours",IF(G83&lt;=120,"Yes","No"),IF('MY PROFILE'!G10="3 Hours",IF(G83&lt;=180,"Yes","No"),"No")))))))</f>
        <v/>
      </c>
      <c r="L83" s="111">
        <f>IF(G83=0,"Same City",IF(G83&lt;=30,"Short",IF(G83&lt;=90,"Medium",IF(G83&lt;=180,"Long","Very Long"))))</f>
        <v/>
      </c>
      <c r="M83" s="111">
        <f>'CALC ENGINE'!S80</f>
        <v/>
      </c>
    </row>
    <row r="84" ht="17" customHeight="1">
      <c r="B84" s="106" t="n">
        <v>79</v>
      </c>
      <c r="C84" s="107">
        <f>'CALC ENGINE'!B81</f>
        <v/>
      </c>
      <c r="D84" s="107">
        <f>'CALC ENGINE'!C81</f>
        <v/>
      </c>
      <c r="E84" s="107">
        <f>'CALC ENGINE'!D81</f>
        <v/>
      </c>
      <c r="F84" s="107">
        <f>'CALC ENGINE'!E81</f>
        <v/>
      </c>
      <c r="G84" s="108">
        <f>'CALC ENGINE'!T81</f>
        <v/>
      </c>
      <c r="H84" s="109">
        <f>IFERROR(SUMPRODUCT(($A$201:$A$293='MY PROFILE'!C10)*($B$201:$B$293=C84)*($C$201:$C$293)),0)</f>
        <v/>
      </c>
      <c r="I84" s="109">
        <f>IF(G84=999,"",G84*2)</f>
        <v/>
      </c>
      <c r="J84" s="109">
        <f>IF(G84=999,"",ROUND(G84*4/60,1)&amp;" hrs")</f>
        <v/>
      </c>
      <c r="K84" s="108">
        <f>IF(G84=999,"Unknown",IF('MY PROFILE'!G10="No Limit","Yes",IF('MY PROFILE'!G10="30 Minutes",IF(G84&lt;=30,"Yes","No"),IF('MY PROFILE'!G10="1 Hour",IF(G84&lt;=60,"Yes","No"),IF('MY PROFILE'!G10="1.5 Hours",IF(G84&lt;=90,"Yes","No"),IF('MY PROFILE'!G10="2 Hours",IF(G84&lt;=120,"Yes","No"),IF('MY PROFILE'!G10="3 Hours",IF(G84&lt;=180,"Yes","No"),"No")))))))</f>
        <v/>
      </c>
      <c r="L84" s="108">
        <f>IF(G84=0,"Same City",IF(G84&lt;=30,"Short",IF(G84&lt;=90,"Medium",IF(G84&lt;=180,"Long","Very Long"))))</f>
        <v/>
      </c>
      <c r="M84" s="108">
        <f>'CALC ENGINE'!S81</f>
        <v/>
      </c>
    </row>
    <row r="85" ht="17" customHeight="1">
      <c r="B85" s="106" t="n">
        <v>80</v>
      </c>
      <c r="C85" s="110">
        <f>'CALC ENGINE'!B82</f>
        <v/>
      </c>
      <c r="D85" s="110">
        <f>'CALC ENGINE'!C82</f>
        <v/>
      </c>
      <c r="E85" s="110">
        <f>'CALC ENGINE'!D82</f>
        <v/>
      </c>
      <c r="F85" s="110">
        <f>'CALC ENGINE'!E82</f>
        <v/>
      </c>
      <c r="G85" s="111">
        <f>'CALC ENGINE'!T82</f>
        <v/>
      </c>
      <c r="H85" s="112">
        <f>IFERROR(SUMPRODUCT(($A$201:$A$293='MY PROFILE'!C10)*($B$201:$B$293=C85)*($C$201:$C$293)),0)</f>
        <v/>
      </c>
      <c r="I85" s="112">
        <f>IF(G85=999,"",G85*2)</f>
        <v/>
      </c>
      <c r="J85" s="112">
        <f>IF(G85=999,"",ROUND(G85*4/60,1)&amp;" hrs")</f>
        <v/>
      </c>
      <c r="K85" s="111">
        <f>IF(G85=999,"Unknown",IF('MY PROFILE'!G10="No Limit","Yes",IF('MY PROFILE'!G10="30 Minutes",IF(G85&lt;=30,"Yes","No"),IF('MY PROFILE'!G10="1 Hour",IF(G85&lt;=60,"Yes","No"),IF('MY PROFILE'!G10="1.5 Hours",IF(G85&lt;=90,"Yes","No"),IF('MY PROFILE'!G10="2 Hours",IF(G85&lt;=120,"Yes","No"),IF('MY PROFILE'!G10="3 Hours",IF(G85&lt;=180,"Yes","No"),"No")))))))</f>
        <v/>
      </c>
      <c r="L85" s="111">
        <f>IF(G85=0,"Same City",IF(G85&lt;=30,"Short",IF(G85&lt;=90,"Medium",IF(G85&lt;=180,"Long","Very Long"))))</f>
        <v/>
      </c>
      <c r="M85" s="111">
        <f>'CALC ENGINE'!S82</f>
        <v/>
      </c>
    </row>
    <row r="200">
      <c r="A200" t="inlineStr">
        <is>
          <t>MILES LOOKUP (A=From, B=To, C=Miles)</t>
        </is>
      </c>
    </row>
    <row r="201">
      <c r="A201" t="inlineStr">
        <is>
          <t>Anaconda</t>
        </is>
      </c>
      <c r="B201" t="inlineStr">
        <is>
          <t>Butte</t>
        </is>
      </c>
      <c r="C201" t="n">
        <v>25</v>
      </c>
    </row>
    <row r="202">
      <c r="A202" t="inlineStr">
        <is>
          <t>Billings</t>
        </is>
      </c>
      <c r="B202" t="inlineStr">
        <is>
          <t>Billings</t>
        </is>
      </c>
      <c r="C202" t="n">
        <v>0</v>
      </c>
    </row>
    <row r="203">
      <c r="A203" t="inlineStr">
        <is>
          <t>Billings</t>
        </is>
      </c>
      <c r="B203" t="inlineStr">
        <is>
          <t>Bozeman</t>
        </is>
      </c>
      <c r="C203" t="n">
        <v>144</v>
      </c>
    </row>
    <row r="204">
      <c r="A204" t="inlineStr">
        <is>
          <t>Billings</t>
        </is>
      </c>
      <c r="B204" t="inlineStr">
        <is>
          <t>Butte</t>
        </is>
      </c>
      <c r="C204" t="n">
        <v>223</v>
      </c>
    </row>
    <row r="205">
      <c r="A205" t="inlineStr">
        <is>
          <t>Billings</t>
        </is>
      </c>
      <c r="B205" t="inlineStr">
        <is>
          <t>Dillon</t>
        </is>
      </c>
      <c r="C205" t="n">
        <v>302</v>
      </c>
    </row>
    <row r="206">
      <c r="A206" t="inlineStr">
        <is>
          <t>Billings</t>
        </is>
      </c>
      <c r="B206" t="inlineStr">
        <is>
          <t>Glendive</t>
        </is>
      </c>
      <c r="C206" t="n">
        <v>213</v>
      </c>
    </row>
    <row r="207">
      <c r="A207" t="inlineStr">
        <is>
          <t>Billings</t>
        </is>
      </c>
      <c r="B207" t="inlineStr">
        <is>
          <t>Great Falls</t>
        </is>
      </c>
      <c r="C207" t="n">
        <v>225</v>
      </c>
    </row>
    <row r="208">
      <c r="A208" t="inlineStr">
        <is>
          <t>Billings</t>
        </is>
      </c>
      <c r="B208" t="inlineStr">
        <is>
          <t>Havre</t>
        </is>
      </c>
      <c r="C208" t="n">
        <v>231</v>
      </c>
    </row>
    <row r="209">
      <c r="A209" t="inlineStr">
        <is>
          <t>Billings</t>
        </is>
      </c>
      <c r="B209" t="inlineStr">
        <is>
          <t>Helena</t>
        </is>
      </c>
      <c r="C209" t="n">
        <v>221</v>
      </c>
    </row>
    <row r="210">
      <c r="A210" t="inlineStr">
        <is>
          <t>Billings</t>
        </is>
      </c>
      <c r="B210" t="inlineStr">
        <is>
          <t>Kalispell</t>
        </is>
      </c>
      <c r="C210" t="n">
        <v>449</v>
      </c>
    </row>
    <row r="211">
      <c r="A211" t="inlineStr">
        <is>
          <t>Billings</t>
        </is>
      </c>
      <c r="B211" t="inlineStr">
        <is>
          <t>Lewistown</t>
        </is>
      </c>
      <c r="C211" t="n">
        <v>126</v>
      </c>
    </row>
    <row r="212">
      <c r="A212" t="inlineStr">
        <is>
          <t>Billings</t>
        </is>
      </c>
      <c r="B212" t="inlineStr">
        <is>
          <t>Livingston</t>
        </is>
      </c>
      <c r="C212" t="n">
        <v>115</v>
      </c>
    </row>
    <row r="213">
      <c r="A213" t="inlineStr">
        <is>
          <t>Billings</t>
        </is>
      </c>
      <c r="B213" t="inlineStr">
        <is>
          <t>Miles City</t>
        </is>
      </c>
      <c r="C213" t="n">
        <v>141</v>
      </c>
    </row>
    <row r="214">
      <c r="A214" t="inlineStr">
        <is>
          <t>Billings</t>
        </is>
      </c>
      <c r="B214" t="inlineStr">
        <is>
          <t>Missoula</t>
        </is>
      </c>
      <c r="C214" t="n">
        <v>344</v>
      </c>
    </row>
    <row r="215">
      <c r="A215" t="inlineStr">
        <is>
          <t>Bozeman</t>
        </is>
      </c>
      <c r="B215" t="inlineStr">
        <is>
          <t>Billings</t>
        </is>
      </c>
      <c r="C215" t="n">
        <v>144</v>
      </c>
    </row>
    <row r="216">
      <c r="A216" t="inlineStr">
        <is>
          <t>Bozeman</t>
        </is>
      </c>
      <c r="B216" t="inlineStr">
        <is>
          <t>Bozeman</t>
        </is>
      </c>
      <c r="C216" t="n">
        <v>0</v>
      </c>
    </row>
    <row r="217">
      <c r="A217" t="inlineStr">
        <is>
          <t>Bozeman</t>
        </is>
      </c>
      <c r="B217" t="inlineStr">
        <is>
          <t>Butte</t>
        </is>
      </c>
      <c r="C217" t="n">
        <v>82</v>
      </c>
    </row>
    <row r="218">
      <c r="A218" t="inlineStr">
        <is>
          <t>Bozeman</t>
        </is>
      </c>
      <c r="B218" t="inlineStr">
        <is>
          <t>Dillon</t>
        </is>
      </c>
      <c r="C218" t="n">
        <v>157</v>
      </c>
    </row>
    <row r="219">
      <c r="A219" t="inlineStr">
        <is>
          <t>Bozeman</t>
        </is>
      </c>
      <c r="B219" t="inlineStr">
        <is>
          <t>Great Falls</t>
        </is>
      </c>
      <c r="C219" t="n">
        <v>225</v>
      </c>
    </row>
    <row r="220">
      <c r="A220" t="inlineStr">
        <is>
          <t>Bozeman</t>
        </is>
      </c>
      <c r="B220" t="inlineStr">
        <is>
          <t>Helena</t>
        </is>
      </c>
      <c r="C220" t="n">
        <v>95</v>
      </c>
    </row>
    <row r="221">
      <c r="A221" t="inlineStr">
        <is>
          <t>Bozeman</t>
        </is>
      </c>
      <c r="B221" t="inlineStr">
        <is>
          <t>Kalispell</t>
        </is>
      </c>
      <c r="C221" t="n">
        <v>303</v>
      </c>
    </row>
    <row r="222">
      <c r="A222" t="inlineStr">
        <is>
          <t>Bozeman</t>
        </is>
      </c>
      <c r="B222" t="inlineStr">
        <is>
          <t>Livingston</t>
        </is>
      </c>
      <c r="C222" t="n">
        <v>26</v>
      </c>
    </row>
    <row r="223">
      <c r="A223" t="inlineStr">
        <is>
          <t>Bozeman</t>
        </is>
      </c>
      <c r="B223" t="inlineStr">
        <is>
          <t>Miles City</t>
        </is>
      </c>
      <c r="C223" t="n">
        <v>285</v>
      </c>
    </row>
    <row r="224">
      <c r="A224" t="inlineStr">
        <is>
          <t>Bozeman</t>
        </is>
      </c>
      <c r="B224" t="inlineStr">
        <is>
          <t>Missoula</t>
        </is>
      </c>
      <c r="C224" t="n">
        <v>199</v>
      </c>
    </row>
    <row r="225">
      <c r="A225" t="inlineStr">
        <is>
          <t>Butte</t>
        </is>
      </c>
      <c r="B225" t="inlineStr">
        <is>
          <t>Anaconda</t>
        </is>
      </c>
      <c r="C225" t="n">
        <v>25</v>
      </c>
    </row>
    <row r="226">
      <c r="A226" t="inlineStr">
        <is>
          <t>Butte</t>
        </is>
      </c>
      <c r="B226" t="inlineStr">
        <is>
          <t>Billings</t>
        </is>
      </c>
      <c r="C226" t="n">
        <v>223</v>
      </c>
    </row>
    <row r="227">
      <c r="A227" t="inlineStr">
        <is>
          <t>Butte</t>
        </is>
      </c>
      <c r="B227" t="inlineStr">
        <is>
          <t>Bozeman</t>
        </is>
      </c>
      <c r="C227" t="n">
        <v>82</v>
      </c>
    </row>
    <row r="228">
      <c r="A228" t="inlineStr">
        <is>
          <t>Butte</t>
        </is>
      </c>
      <c r="B228" t="inlineStr">
        <is>
          <t>Butte</t>
        </is>
      </c>
      <c r="C228" t="n">
        <v>0</v>
      </c>
    </row>
    <row r="229">
      <c r="A229" t="inlineStr">
        <is>
          <t>Butte</t>
        </is>
      </c>
      <c r="B229" t="inlineStr">
        <is>
          <t>Dillon</t>
        </is>
      </c>
      <c r="C229" t="n">
        <v>63</v>
      </c>
    </row>
    <row r="230">
      <c r="A230" t="inlineStr">
        <is>
          <t>Butte</t>
        </is>
      </c>
      <c r="B230" t="inlineStr">
        <is>
          <t>Helena</t>
        </is>
      </c>
      <c r="C230" t="n">
        <v>65</v>
      </c>
    </row>
    <row r="231">
      <c r="A231" t="inlineStr">
        <is>
          <t>Butte</t>
        </is>
      </c>
      <c r="B231" t="inlineStr">
        <is>
          <t>Missoula</t>
        </is>
      </c>
      <c r="C231" t="n">
        <v>129</v>
      </c>
    </row>
    <row r="232">
      <c r="A232" t="inlineStr">
        <is>
          <t>Dillon</t>
        </is>
      </c>
      <c r="B232" t="inlineStr">
        <is>
          <t>Billings</t>
        </is>
      </c>
      <c r="C232" t="n">
        <v>302</v>
      </c>
    </row>
    <row r="233">
      <c r="A233" t="inlineStr">
        <is>
          <t>Dillon</t>
        </is>
      </c>
      <c r="B233" t="inlineStr">
        <is>
          <t>Bozeman</t>
        </is>
      </c>
      <c r="C233" t="n">
        <v>157</v>
      </c>
    </row>
    <row r="234">
      <c r="A234" t="inlineStr">
        <is>
          <t>Dillon</t>
        </is>
      </c>
      <c r="B234" t="inlineStr">
        <is>
          <t>Butte</t>
        </is>
      </c>
      <c r="C234" t="n">
        <v>63</v>
      </c>
    </row>
    <row r="235">
      <c r="A235" t="inlineStr">
        <is>
          <t>Dillon</t>
        </is>
      </c>
      <c r="B235" t="inlineStr">
        <is>
          <t>Dillon</t>
        </is>
      </c>
      <c r="C235" t="n">
        <v>0</v>
      </c>
    </row>
    <row r="236">
      <c r="A236" t="inlineStr">
        <is>
          <t>Dillon</t>
        </is>
      </c>
      <c r="B236" t="inlineStr">
        <is>
          <t>Helena</t>
        </is>
      </c>
      <c r="C236" t="n">
        <v>124</v>
      </c>
    </row>
    <row r="237">
      <c r="A237" t="inlineStr">
        <is>
          <t>Dillon</t>
        </is>
      </c>
      <c r="B237" t="inlineStr">
        <is>
          <t>Missoula</t>
        </is>
      </c>
      <c r="C237" t="n">
        <v>189</v>
      </c>
    </row>
    <row r="238">
      <c r="A238" t="inlineStr">
        <is>
          <t>Glasgow</t>
        </is>
      </c>
      <c r="B238" t="inlineStr">
        <is>
          <t>Glasgow</t>
        </is>
      </c>
      <c r="C238" t="n">
        <v>0</v>
      </c>
    </row>
    <row r="239">
      <c r="A239" t="inlineStr">
        <is>
          <t>Glasgow</t>
        </is>
      </c>
      <c r="B239" t="inlineStr">
        <is>
          <t>Great Falls</t>
        </is>
      </c>
      <c r="C239" t="n">
        <v>228</v>
      </c>
    </row>
    <row r="240">
      <c r="A240" t="inlineStr">
        <is>
          <t>Glasgow</t>
        </is>
      </c>
      <c r="B240" t="inlineStr">
        <is>
          <t>Havre</t>
        </is>
      </c>
      <c r="C240" t="n">
        <v>171</v>
      </c>
    </row>
    <row r="241">
      <c r="A241" t="inlineStr">
        <is>
          <t>Glasgow</t>
        </is>
      </c>
      <c r="B241" t="inlineStr">
        <is>
          <t>Wolf Point</t>
        </is>
      </c>
      <c r="C241" t="n">
        <v>49</v>
      </c>
    </row>
    <row r="242">
      <c r="A242" t="inlineStr">
        <is>
          <t>Glendive</t>
        </is>
      </c>
      <c r="B242" t="inlineStr">
        <is>
          <t>Billings</t>
        </is>
      </c>
      <c r="C242" t="n">
        <v>213</v>
      </c>
    </row>
    <row r="243">
      <c r="A243" t="inlineStr">
        <is>
          <t>Glendive</t>
        </is>
      </c>
      <c r="B243" t="inlineStr">
        <is>
          <t>Miles City</t>
        </is>
      </c>
      <c r="C243" t="n">
        <v>72</v>
      </c>
    </row>
    <row r="244">
      <c r="A244" t="inlineStr">
        <is>
          <t>Great Falls</t>
        </is>
      </c>
      <c r="B244" t="inlineStr">
        <is>
          <t>Billings</t>
        </is>
      </c>
      <c r="C244" t="n">
        <v>225</v>
      </c>
    </row>
    <row r="245">
      <c r="A245" t="inlineStr">
        <is>
          <t>Great Falls</t>
        </is>
      </c>
      <c r="B245" t="inlineStr">
        <is>
          <t>Bozeman</t>
        </is>
      </c>
      <c r="C245" t="n">
        <v>225</v>
      </c>
    </row>
    <row r="246">
      <c r="A246" t="inlineStr">
        <is>
          <t>Great Falls</t>
        </is>
      </c>
      <c r="B246" t="inlineStr">
        <is>
          <t>Glasgow</t>
        </is>
      </c>
      <c r="C246" t="n">
        <v>228</v>
      </c>
    </row>
    <row r="247">
      <c r="A247" t="inlineStr">
        <is>
          <t>Great Falls</t>
        </is>
      </c>
      <c r="B247" t="inlineStr">
        <is>
          <t>Great Falls</t>
        </is>
      </c>
      <c r="C247" t="n">
        <v>0</v>
      </c>
    </row>
    <row r="248">
      <c r="A248" t="inlineStr">
        <is>
          <t>Great Falls</t>
        </is>
      </c>
      <c r="B248" t="inlineStr">
        <is>
          <t>Havre</t>
        </is>
      </c>
      <c r="C248" t="n">
        <v>115</v>
      </c>
    </row>
    <row r="249">
      <c r="A249" t="inlineStr">
        <is>
          <t>Great Falls</t>
        </is>
      </c>
      <c r="B249" t="inlineStr">
        <is>
          <t>Helena</t>
        </is>
      </c>
      <c r="C249" t="n">
        <v>91</v>
      </c>
    </row>
    <row r="250">
      <c r="A250" t="inlineStr">
        <is>
          <t>Great Falls</t>
        </is>
      </c>
      <c r="B250" t="inlineStr">
        <is>
          <t>Kalispell</t>
        </is>
      </c>
      <c r="C250" t="n">
        <v>222</v>
      </c>
    </row>
    <row r="251">
      <c r="A251" t="inlineStr">
        <is>
          <t>Great Falls</t>
        </is>
      </c>
      <c r="B251" t="inlineStr">
        <is>
          <t>Lewistown</t>
        </is>
      </c>
      <c r="C251" t="n">
        <v>105</v>
      </c>
    </row>
    <row r="252">
      <c r="A252" t="inlineStr">
        <is>
          <t>Great Falls</t>
        </is>
      </c>
      <c r="B252" t="inlineStr">
        <is>
          <t>Missoula</t>
        </is>
      </c>
      <c r="C252" t="n">
        <v>198</v>
      </c>
    </row>
    <row r="253">
      <c r="A253" t="inlineStr">
        <is>
          <t>Havre</t>
        </is>
      </c>
      <c r="B253" t="inlineStr">
        <is>
          <t>Billings</t>
        </is>
      </c>
      <c r="C253" t="n">
        <v>231</v>
      </c>
    </row>
    <row r="254">
      <c r="A254" t="inlineStr">
        <is>
          <t>Havre</t>
        </is>
      </c>
      <c r="B254" t="inlineStr">
        <is>
          <t>Glasgow</t>
        </is>
      </c>
      <c r="C254" t="n">
        <v>171</v>
      </c>
    </row>
    <row r="255">
      <c r="A255" t="inlineStr">
        <is>
          <t>Havre</t>
        </is>
      </c>
      <c r="B255" t="inlineStr">
        <is>
          <t>Great Falls</t>
        </is>
      </c>
      <c r="C255" t="n">
        <v>115</v>
      </c>
    </row>
    <row r="256">
      <c r="A256" t="inlineStr">
        <is>
          <t>Havre</t>
        </is>
      </c>
      <c r="B256" t="inlineStr">
        <is>
          <t>Havre</t>
        </is>
      </c>
      <c r="C256" t="n">
        <v>0</v>
      </c>
    </row>
    <row r="257">
      <c r="A257" t="inlineStr">
        <is>
          <t>Havre</t>
        </is>
      </c>
      <c r="B257" t="inlineStr">
        <is>
          <t>Helena</t>
        </is>
      </c>
      <c r="C257" t="n">
        <v>183</v>
      </c>
    </row>
    <row r="258">
      <c r="A258" t="inlineStr">
        <is>
          <t>Havre</t>
        </is>
      </c>
      <c r="B258" t="inlineStr">
        <is>
          <t>Lewistown</t>
        </is>
      </c>
      <c r="C258" t="n">
        <v>127</v>
      </c>
    </row>
    <row r="259">
      <c r="A259" t="inlineStr">
        <is>
          <t>Helena</t>
        </is>
      </c>
      <c r="B259" t="inlineStr">
        <is>
          <t>Billings</t>
        </is>
      </c>
      <c r="C259" t="n">
        <v>221</v>
      </c>
    </row>
    <row r="260">
      <c r="A260" t="inlineStr">
        <is>
          <t>Helena</t>
        </is>
      </c>
      <c r="B260" t="inlineStr">
        <is>
          <t>Bozeman</t>
        </is>
      </c>
      <c r="C260" t="n">
        <v>95</v>
      </c>
    </row>
    <row r="261">
      <c r="A261" t="inlineStr">
        <is>
          <t>Helena</t>
        </is>
      </c>
      <c r="B261" t="inlineStr">
        <is>
          <t>Butte</t>
        </is>
      </c>
      <c r="C261" t="n">
        <v>65</v>
      </c>
    </row>
    <row r="262">
      <c r="A262" t="inlineStr">
        <is>
          <t>Helena</t>
        </is>
      </c>
      <c r="B262" t="inlineStr">
        <is>
          <t>Dillon</t>
        </is>
      </c>
      <c r="C262" t="n">
        <v>124</v>
      </c>
    </row>
    <row r="263">
      <c r="A263" t="inlineStr">
        <is>
          <t>Helena</t>
        </is>
      </c>
      <c r="B263" t="inlineStr">
        <is>
          <t>Great Falls</t>
        </is>
      </c>
      <c r="C263" t="n">
        <v>91</v>
      </c>
    </row>
    <row r="264">
      <c r="A264" t="inlineStr">
        <is>
          <t>Helena</t>
        </is>
      </c>
      <c r="B264" t="inlineStr">
        <is>
          <t>Havre</t>
        </is>
      </c>
      <c r="C264" t="n">
        <v>183</v>
      </c>
    </row>
    <row r="265">
      <c r="A265" t="inlineStr">
        <is>
          <t>Helena</t>
        </is>
      </c>
      <c r="B265" t="inlineStr">
        <is>
          <t>Helena</t>
        </is>
      </c>
      <c r="C265" t="n">
        <v>0</v>
      </c>
    </row>
    <row r="266">
      <c r="A266" t="inlineStr">
        <is>
          <t>Helena</t>
        </is>
      </c>
      <c r="B266" t="inlineStr">
        <is>
          <t>Kalispell</t>
        </is>
      </c>
      <c r="C266" t="n">
        <v>217</v>
      </c>
    </row>
    <row r="267">
      <c r="A267" t="inlineStr">
        <is>
          <t>Helena</t>
        </is>
      </c>
      <c r="B267" t="inlineStr">
        <is>
          <t>Missoula</t>
        </is>
      </c>
      <c r="C267" t="n">
        <v>113</v>
      </c>
    </row>
    <row r="268">
      <c r="A268" t="inlineStr">
        <is>
          <t>Kalispell</t>
        </is>
      </c>
      <c r="B268" t="inlineStr">
        <is>
          <t>Billings</t>
        </is>
      </c>
      <c r="C268" t="n">
        <v>449</v>
      </c>
    </row>
    <row r="269">
      <c r="A269" t="inlineStr">
        <is>
          <t>Kalispell</t>
        </is>
      </c>
      <c r="B269" t="inlineStr">
        <is>
          <t>Bozeman</t>
        </is>
      </c>
      <c r="C269" t="n">
        <v>303</v>
      </c>
    </row>
    <row r="270">
      <c r="A270" t="inlineStr">
        <is>
          <t>Kalispell</t>
        </is>
      </c>
      <c r="B270" t="inlineStr">
        <is>
          <t>Great Falls</t>
        </is>
      </c>
      <c r="C270" t="n">
        <v>222</v>
      </c>
    </row>
    <row r="271">
      <c r="A271" t="inlineStr">
        <is>
          <t>Kalispell</t>
        </is>
      </c>
      <c r="B271" t="inlineStr">
        <is>
          <t>Helena</t>
        </is>
      </c>
      <c r="C271" t="n">
        <v>217</v>
      </c>
    </row>
    <row r="272">
      <c r="A272" t="inlineStr">
        <is>
          <t>Kalispell</t>
        </is>
      </c>
      <c r="B272" t="inlineStr">
        <is>
          <t>Kalispell</t>
        </is>
      </c>
      <c r="C272" t="n">
        <v>0</v>
      </c>
    </row>
    <row r="273">
      <c r="A273" t="inlineStr">
        <is>
          <t>Kalispell</t>
        </is>
      </c>
      <c r="B273" t="inlineStr">
        <is>
          <t>Missoula</t>
        </is>
      </c>
      <c r="C273" t="n">
        <v>118</v>
      </c>
    </row>
    <row r="274">
      <c r="A274" t="inlineStr">
        <is>
          <t>Kalispell</t>
        </is>
      </c>
      <c r="B274" t="inlineStr">
        <is>
          <t>Whitefish</t>
        </is>
      </c>
      <c r="C274" t="n">
        <v>16</v>
      </c>
    </row>
    <row r="275">
      <c r="A275" t="inlineStr">
        <is>
          <t>Lewistown</t>
        </is>
      </c>
      <c r="B275" t="inlineStr">
        <is>
          <t>Billings</t>
        </is>
      </c>
      <c r="C275" t="n">
        <v>126</v>
      </c>
    </row>
    <row r="276">
      <c r="A276" t="inlineStr">
        <is>
          <t>Lewistown</t>
        </is>
      </c>
      <c r="B276" t="inlineStr">
        <is>
          <t>Great Falls</t>
        </is>
      </c>
      <c r="C276" t="n">
        <v>105</v>
      </c>
    </row>
    <row r="277">
      <c r="A277" t="inlineStr">
        <is>
          <t>Lewistown</t>
        </is>
      </c>
      <c r="B277" t="inlineStr">
        <is>
          <t>Havre</t>
        </is>
      </c>
      <c r="C277" t="n">
        <v>127</v>
      </c>
    </row>
    <row r="278">
      <c r="A278" t="inlineStr">
        <is>
          <t>Livingston</t>
        </is>
      </c>
      <c r="B278" t="inlineStr">
        <is>
          <t>Billings</t>
        </is>
      </c>
      <c r="C278" t="n">
        <v>115</v>
      </c>
    </row>
    <row r="279">
      <c r="A279" t="inlineStr">
        <is>
          <t>Livingston</t>
        </is>
      </c>
      <c r="B279" t="inlineStr">
        <is>
          <t>Bozeman</t>
        </is>
      </c>
      <c r="C279" t="n">
        <v>26</v>
      </c>
    </row>
    <row r="280">
      <c r="A280" t="inlineStr">
        <is>
          <t>Miles City</t>
        </is>
      </c>
      <c r="B280" t="inlineStr">
        <is>
          <t>Billings</t>
        </is>
      </c>
      <c r="C280" t="n">
        <v>141</v>
      </c>
    </row>
    <row r="281">
      <c r="A281" t="inlineStr">
        <is>
          <t>Miles City</t>
        </is>
      </c>
      <c r="B281" t="inlineStr">
        <is>
          <t>Bozeman</t>
        </is>
      </c>
      <c r="C281" t="n">
        <v>285</v>
      </c>
    </row>
    <row r="282">
      <c r="A282" t="inlineStr">
        <is>
          <t>Miles City</t>
        </is>
      </c>
      <c r="B282" t="inlineStr">
        <is>
          <t>Glendive</t>
        </is>
      </c>
      <c r="C282" t="n">
        <v>72</v>
      </c>
    </row>
    <row r="283">
      <c r="A283" t="inlineStr">
        <is>
          <t>Miles City</t>
        </is>
      </c>
      <c r="B283" t="inlineStr">
        <is>
          <t>Miles City</t>
        </is>
      </c>
      <c r="C283" t="n">
        <v>0</v>
      </c>
    </row>
    <row r="284">
      <c r="A284" t="inlineStr">
        <is>
          <t>Missoula</t>
        </is>
      </c>
      <c r="B284" t="inlineStr">
        <is>
          <t>Billings</t>
        </is>
      </c>
      <c r="C284" t="n">
        <v>344</v>
      </c>
    </row>
    <row r="285">
      <c r="A285" t="inlineStr">
        <is>
          <t>Missoula</t>
        </is>
      </c>
      <c r="B285" t="inlineStr">
        <is>
          <t>Bozeman</t>
        </is>
      </c>
      <c r="C285" t="n">
        <v>199</v>
      </c>
    </row>
    <row r="286">
      <c r="A286" t="inlineStr">
        <is>
          <t>Missoula</t>
        </is>
      </c>
      <c r="B286" t="inlineStr">
        <is>
          <t>Butte</t>
        </is>
      </c>
      <c r="C286" t="n">
        <v>129</v>
      </c>
    </row>
    <row r="287">
      <c r="A287" t="inlineStr">
        <is>
          <t>Missoula</t>
        </is>
      </c>
      <c r="B287" t="inlineStr">
        <is>
          <t>Dillon</t>
        </is>
      </c>
      <c r="C287" t="n">
        <v>189</v>
      </c>
    </row>
    <row r="288">
      <c r="A288" t="inlineStr">
        <is>
          <t>Missoula</t>
        </is>
      </c>
      <c r="B288" t="inlineStr">
        <is>
          <t>Great Falls</t>
        </is>
      </c>
      <c r="C288" t="n">
        <v>198</v>
      </c>
    </row>
    <row r="289">
      <c r="A289" t="inlineStr">
        <is>
          <t>Missoula</t>
        </is>
      </c>
      <c r="B289" t="inlineStr">
        <is>
          <t>Helena</t>
        </is>
      </c>
      <c r="C289" t="n">
        <v>113</v>
      </c>
    </row>
    <row r="290">
      <c r="A290" t="inlineStr">
        <is>
          <t>Missoula</t>
        </is>
      </c>
      <c r="B290" t="inlineStr">
        <is>
          <t>Kalispell</t>
        </is>
      </c>
      <c r="C290" t="n">
        <v>118</v>
      </c>
    </row>
    <row r="291">
      <c r="A291" t="inlineStr">
        <is>
          <t>Missoula</t>
        </is>
      </c>
      <c r="B291" t="inlineStr">
        <is>
          <t>Missoula</t>
        </is>
      </c>
      <c r="C291" t="n">
        <v>0</v>
      </c>
    </row>
    <row r="292">
      <c r="A292" t="inlineStr">
        <is>
          <t>Whitefish</t>
        </is>
      </c>
      <c r="B292" t="inlineStr">
        <is>
          <t>Kalispell</t>
        </is>
      </c>
      <c r="C292" t="n">
        <v>16</v>
      </c>
    </row>
    <row r="293">
      <c r="A293" t="inlineStr">
        <is>
          <t>Wolf Point</t>
        </is>
      </c>
      <c r="B293" t="inlineStr">
        <is>
          <t>Glasgow</t>
        </is>
      </c>
      <c r="C293" t="n">
        <v>49</v>
      </c>
    </row>
  </sheetData>
  <autoFilter ref="B5:M85"/>
  <mergeCells count="7">
    <mergeCell ref="G4:H4"/>
    <mergeCell ref="E4:F4"/>
    <mergeCell ref="I4:J4"/>
    <mergeCell ref="B2:L2"/>
    <mergeCell ref="K4:L4"/>
    <mergeCell ref="B1:L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B1:I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22" customWidth="1" min="4" max="4"/>
    <col width="24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 ht="30" customHeight="1">
      <c r="B1" s="101" t="inlineStr">
        <is>
          <t>CAREER TIMELINE  |  Suggested 10–20 Year Pathway Based on Your Profile</t>
        </is>
      </c>
    </row>
    <row r="2" ht="20" customHeight="1">
      <c r="B2" s="60">
        <f>"Rank: "&amp;'MY PROFILE'!C6&amp;"  |  MOS: "&amp;'MY PROFILE'!C7&amp;"  |  Goal: "&amp;'MY PROFILE'!C25&amp;"  |  Primary Goal: "&amp;'MY PROFILE'!C26</f>
        <v/>
      </c>
    </row>
    <row r="3" ht="18" customHeight="1">
      <c r="B3" s="113" t="inlineStr">
        <is>
          <t>This timeline is a PLANNING GUIDE, not a guarantee. Adjust based on force structure, available positions, and board outcomes. Positions typically held 2–3 years each.</t>
        </is>
      </c>
    </row>
    <row r="5" ht="22" customHeight="1">
      <c r="B5" s="114" t="inlineStr">
        <is>
          <t>ENLISTED CAREER PATH — Example: 92Y → SFC → MSG (Goal)</t>
        </is>
      </c>
    </row>
    <row r="6" ht="18" customHeight="1">
      <c r="C6" s="115" t="inlineStr">
        <is>
          <t>E5 / SGT
Team Leader / Supply SGT
(2–3 yrs)
BLC → ALC Prep</t>
        </is>
      </c>
      <c r="D6" s="116" t="inlineStr">
        <is>
          <t>ALC
Advanced Leader
Course
(3 wks yrs)
Fort Lee or Regional</t>
        </is>
      </c>
      <c r="E6" s="115" t="inlineStr">
        <is>
          <t>E6 / SSG
Section NCOIC / SL
(2–3 yrs)
KD: Lead soldiers</t>
        </is>
      </c>
      <c r="F6" s="116" t="inlineStr">
        <is>
          <t>SLC
Senior Leader
Course
(6 wks yrs)
USASMA competitive</t>
        </is>
      </c>
      <c r="G6" s="117" t="inlineStr">
        <is>
          <t>E7 / SFC
Platoon SGT / Staff
(2–3 yrs)
Broaden experience</t>
        </is>
      </c>
      <c r="H6" s="115" t="inlineStr">
        <is>
          <t>E8 / MSG
1SG or Senior Staff
(3+ yrs)
Senior leader track</t>
        </is>
      </c>
      <c r="I6" s="118" t="inlineStr">
        <is>
          <t>E8 1SG
Company 1SG
(2–3 yrs)
Pinnacle for many</t>
        </is>
      </c>
    </row>
    <row r="7" ht="18" customHeight="1"/>
    <row r="8" ht="18" customHeight="1"/>
    <row r="9">
      <c r="C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  <c r="D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  <c r="E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  <c r="F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  <c r="G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  <c r="H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  <c r="I9" s="119" t="inlineStr">
        <is>
          <t>─────────────────────────────────────────────────────────────────────→</t>
        </is>
      </c>
    </row>
    <row r="11" ht="22" customHeight="1">
      <c r="B11" s="120" t="inlineStr">
        <is>
          <t>OFFICER CAREER PATH — Example: 2LT → CPT (Company Command) → MAJ → LTC</t>
        </is>
      </c>
    </row>
    <row r="12" ht="18" customHeight="1">
      <c r="C12" s="117" t="inlineStr">
        <is>
          <t>O1-O2
Platoon Leader
/ XO
(2–3 yrs)
BOLC → branch qual</t>
        </is>
      </c>
      <c r="D12" s="116" t="inlineStr">
        <is>
          <t>CCC
Captain's Career
Course
(4 mos yrs)
Branch school</t>
        </is>
      </c>
      <c r="E12" s="118" t="inlineStr">
        <is>
          <t>O3 CPT
Company
Command
(2 yrs)
KD: Pinnacle CPT</t>
        </is>
      </c>
      <c r="F12" s="117" t="inlineStr">
        <is>
          <t>O3 CPT
Battalion Staff
S3/S4/S1
(2 yrs)
KD staff tour</t>
        </is>
      </c>
      <c r="G12" s="116" t="inlineStr">
        <is>
          <t>ILE
Intermediate
Level Ed
(1 yr yrs)
CGSC / non-res</t>
        </is>
      </c>
      <c r="H12" s="118" t="inlineStr">
        <is>
          <t>O5 LTC
Battalion
Command
(2 yrs)
BN CDR — elite</t>
        </is>
      </c>
      <c r="I12" s="117" t="inlineStr">
        <is>
          <t>O5 LTC
Brigade Staff /
J-Staff
(3+ yrs)
Senior staff</t>
        </is>
      </c>
    </row>
    <row r="13" ht="18" customHeight="1"/>
    <row r="14" ht="18" customHeight="1"/>
    <row r="17" ht="22" customHeight="1">
      <c r="B17" s="121" t="inlineStr">
        <is>
          <t>WARRANT OFFICER PATH — Example: WO1 → CW3 → CW5 (Senior Warrant)</t>
        </is>
      </c>
    </row>
    <row r="18" ht="18" customHeight="1">
      <c r="C18" s="116" t="inlineStr">
        <is>
          <t>WOFT / WOBC
Warrant Officer
Basic Course
(6–18 mo yrs)
IERW if aviator</t>
        </is>
      </c>
      <c r="D18" s="115" t="inlineStr">
        <is>
          <t>CW2
Tech Expert
in MOS
(3–4 yrs)
WOAC prep</t>
        </is>
      </c>
      <c r="E18" s="116" t="inlineStr">
        <is>
          <t>WOAC
Warrant Officer
Advanced Course
(3 wks yrs)
MOS branch school</t>
        </is>
      </c>
      <c r="F18" s="115" t="inlineStr">
        <is>
          <t>CW3
Senior Tech
Advisor
(3–4 yrs)
WOILE prep</t>
        </is>
      </c>
      <c r="G18" s="116" t="inlineStr">
        <is>
          <t>WOILE / WOSSE
WO Intermediate
Level Ed
(3 wks yrs)
Fort Leavenworth</t>
        </is>
      </c>
      <c r="H18" s="115" t="inlineStr">
        <is>
          <t>CW4
Senior Warrant
Leader
(4+ yrs)
Mentor CW1/CW2</t>
        </is>
      </c>
      <c r="I18" s="118" t="inlineStr">
        <is>
          <t>CW5
Chief Warrant
Officer 5
(3+ yrs)
Rare — senior WO</t>
        </is>
      </c>
    </row>
    <row r="19" ht="18" customHeight="1"/>
    <row r="20" ht="18" customHeight="1"/>
    <row r="23" ht="22" customHeight="1">
      <c r="B23" s="122" t="inlineStr">
        <is>
          <t>KEY DECISION GATES — When to take action</t>
        </is>
      </c>
    </row>
    <row r="24" ht="22" customHeight="1">
      <c r="B24" s="123" t="inlineStr">
        <is>
          <t>E4→E5</t>
        </is>
      </c>
      <c r="C24" s="34" t="inlineStr">
        <is>
          <t>Enroll in BLC. Ensure SSD1 complete. Ask unit for recommendation letter.</t>
        </is>
      </c>
    </row>
    <row r="25" ht="22" customHeight="1">
      <c r="B25" s="123" t="inlineStr">
        <is>
          <t>E5→E6</t>
        </is>
      </c>
      <c r="C25" s="30" t="inlineStr">
        <is>
          <t>Complete ALC. Serve in leadership position. Build OER/NCOER support file.</t>
        </is>
      </c>
    </row>
    <row r="26" ht="22" customHeight="1">
      <c r="B26" s="123" t="inlineStr">
        <is>
          <t>E6→E7 (SFC)</t>
        </is>
      </c>
      <c r="C26" s="124" t="inlineStr">
        <is>
          <t>Compete for SLC. Seek platoon sergeant or staff NCOIC. Consider AGR track.</t>
        </is>
      </c>
    </row>
    <row r="27" ht="22" customHeight="1">
      <c r="B27" s="123" t="inlineStr">
        <is>
          <t>E7→E8 (MSG)</t>
        </is>
      </c>
      <c r="C27" s="38" t="inlineStr">
        <is>
          <t>SLC complete. Centralized board. 1SG assignment is key. Build senior rater relationship.</t>
        </is>
      </c>
    </row>
    <row r="28" ht="22" customHeight="1">
      <c r="B28" s="123" t="inlineStr">
        <is>
          <t>Command Track</t>
        </is>
      </c>
      <c r="C28" s="125" t="inlineStr">
        <is>
          <t>Pre-Command Course required. Build relationship with BN CDR and retention NCO.</t>
        </is>
      </c>
    </row>
    <row r="29" ht="22" customHeight="1">
      <c r="B29" s="123" t="inlineStr">
        <is>
          <t>WO Interest</t>
        </is>
      </c>
      <c r="C29" s="42" t="inlineStr">
        <is>
          <t>Talk to state WO recruiter. SIFT test. Class 1A physical (if aviation). Strong GT score.</t>
        </is>
      </c>
    </row>
    <row r="30" ht="22" customHeight="1">
      <c r="B30" s="123" t="inlineStr">
        <is>
          <t>AGR Interest</t>
        </is>
      </c>
      <c r="C30" s="34" t="inlineStr">
        <is>
          <t>Contact state AGR office. Position must be vacant. AGR tour = active duty benefits.</t>
        </is>
      </c>
    </row>
    <row r="31" ht="22" customHeight="1">
      <c r="B31" s="123" t="inlineStr">
        <is>
          <t>MOS Switch</t>
        </is>
      </c>
      <c r="C31" s="30" t="inlineStr">
        <is>
          <t>Talk to retention NCO. Check line scores and waivers. Plan MOSQ school time off work.</t>
        </is>
      </c>
    </row>
    <row r="33" ht="20" customHeight="1">
      <c r="B33" s="126" t="inlineStr">
        <is>
          <t>TIMELINE LEGEND</t>
        </is>
      </c>
    </row>
    <row r="34" ht="18" customHeight="1">
      <c r="B34" s="127" t="inlineStr">
        <is>
          <t>School/PME</t>
        </is>
      </c>
    </row>
    <row r="35" ht="18" customHeight="1">
      <c r="B35" s="128" t="inlineStr">
        <is>
          <t>Leadership</t>
        </is>
      </c>
    </row>
    <row r="36" ht="18" customHeight="1">
      <c r="B36" s="24" t="inlineStr">
        <is>
          <t>Staff</t>
        </is>
      </c>
    </row>
    <row r="37" ht="18" customHeight="1">
      <c r="B37" s="129" t="inlineStr">
        <is>
          <t>Command</t>
        </is>
      </c>
    </row>
    <row r="38" ht="18" customHeight="1">
      <c r="B38" s="130" t="inlineStr">
        <is>
          <t>Broadening</t>
        </is>
      </c>
    </row>
    <row r="39" ht="18" customHeight="1">
      <c r="B39" s="131" t="inlineStr">
        <is>
          <t>Transition</t>
        </is>
      </c>
    </row>
  </sheetData>
  <mergeCells count="37">
    <mergeCell ref="I18:I20"/>
    <mergeCell ref="C12:C14"/>
    <mergeCell ref="D12:D14"/>
    <mergeCell ref="B3:I3"/>
    <mergeCell ref="D18:D20"/>
    <mergeCell ref="I6:I8"/>
    <mergeCell ref="H12:H14"/>
    <mergeCell ref="H18:H20"/>
    <mergeCell ref="C28:I28"/>
    <mergeCell ref="B11:I11"/>
    <mergeCell ref="B2:I2"/>
    <mergeCell ref="E12:E14"/>
    <mergeCell ref="C24:I24"/>
    <mergeCell ref="C30:I30"/>
    <mergeCell ref="B23:I23"/>
    <mergeCell ref="C6:C8"/>
    <mergeCell ref="B1:I1"/>
    <mergeCell ref="D6:D8"/>
    <mergeCell ref="C18:C20"/>
    <mergeCell ref="F6:F8"/>
    <mergeCell ref="B17:I17"/>
    <mergeCell ref="E18:E20"/>
    <mergeCell ref="G12:G14"/>
    <mergeCell ref="C26:I26"/>
    <mergeCell ref="C29:I29"/>
    <mergeCell ref="C25:I25"/>
    <mergeCell ref="E6:E8"/>
    <mergeCell ref="C31:I31"/>
    <mergeCell ref="F12:F14"/>
    <mergeCell ref="F18:F20"/>
    <mergeCell ref="B33:C33"/>
    <mergeCell ref="H6:H8"/>
    <mergeCell ref="I12:I14"/>
    <mergeCell ref="B5:I5"/>
    <mergeCell ref="G6:G8"/>
    <mergeCell ref="C27:I27"/>
    <mergeCell ref="G18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2" customWidth="1" min="12" max="12"/>
  </cols>
  <sheetData>
    <row r="1" ht="28" customHeight="1">
      <c r="B1" s="56" t="inlineStr">
        <is>
          <t>MONTANA ARMY NATIONAL GUARD — SOLDIER CAREER COUNSELING SHEET</t>
        </is>
      </c>
    </row>
    <row r="2" ht="16" customHeight="1">
      <c r="B2" s="8">
        <f>"As of: "&amp;TEXT(TODAY(),"MMMM DD, YYYY")&amp;"   |   Prepared for: "&amp;'MY PROFILE'!C6&amp;" "&amp;'MY PROFILE'!C5&amp;"   |   MOS: "&amp;'MY PROFILE'!C7&amp;"   |   Home: "&amp;'MY PROFILE'!C10</f>
        <v/>
      </c>
    </row>
    <row r="3" ht="18" customHeight="1">
      <c r="B3" s="114" t="inlineStr">
        <is>
          <t>SECTION 1 — CURRENT SNAPSHOT</t>
        </is>
      </c>
    </row>
    <row r="4" ht="17" customHeight="1">
      <c r="B4" s="132" t="inlineStr">
        <is>
          <t>Rank / Grade</t>
        </is>
      </c>
      <c r="C4" s="133">
        <f>'MY PROFILE'!C6</f>
        <v/>
      </c>
      <c r="F4" s="132" t="inlineStr">
        <is>
          <t>Career Category</t>
        </is>
      </c>
      <c r="G4" s="133">
        <f>'MY PROFILE'!E6</f>
        <v/>
      </c>
    </row>
    <row r="5" ht="17" customHeight="1">
      <c r="B5" s="132" t="inlineStr">
        <is>
          <t>MOS / AOC</t>
        </is>
      </c>
      <c r="C5" s="133">
        <f>'MY PROFILE'!C7</f>
        <v/>
      </c>
      <c r="F5" s="132" t="inlineStr">
        <is>
          <t>Component</t>
        </is>
      </c>
      <c r="G5" s="133">
        <f>'MY PROFILE'!G6</f>
        <v/>
      </c>
    </row>
    <row r="6" ht="17" customHeight="1">
      <c r="B6" s="132" t="inlineStr">
        <is>
          <t>Unit</t>
        </is>
      </c>
      <c r="C6" s="133">
        <f>'MY PROFILE'!C8</f>
        <v/>
      </c>
      <c r="F6" s="132" t="inlineStr">
        <is>
          <t>Unit City</t>
        </is>
      </c>
      <c r="G6" s="133">
        <f>'MY PROFILE'!G9</f>
        <v/>
      </c>
    </row>
    <row r="7" ht="17" customHeight="1">
      <c r="B7" s="132" t="inlineStr">
        <is>
          <t>Current Title</t>
        </is>
      </c>
      <c r="C7" s="133">
        <f>'MY PROFILE'!C9</f>
        <v/>
      </c>
      <c r="F7" s="132" t="inlineStr">
        <is>
          <t>Years of Service</t>
        </is>
      </c>
      <c r="G7" s="133">
        <f>'MY PROFILE'!C11</f>
        <v/>
      </c>
    </row>
    <row r="8" ht="17" customHeight="1">
      <c r="B8" s="132" t="inlineStr">
        <is>
          <t>TIG (yrs)</t>
        </is>
      </c>
      <c r="C8" s="133">
        <f>'MY PROFILE'!E11</f>
        <v/>
      </c>
      <c r="F8" s="132" t="inlineStr">
        <is>
          <t>TIS / Svc Entry</t>
        </is>
      </c>
      <c r="G8" s="133">
        <f>'MY PROFILE'!E12</f>
        <v/>
      </c>
    </row>
    <row r="9" ht="17" customHeight="1">
      <c r="B9" s="132" t="inlineStr">
        <is>
          <t>Clearance</t>
        </is>
      </c>
      <c r="C9" s="133">
        <f>'MY PROFILE'!E42</f>
        <v/>
      </c>
      <c r="F9" s="132" t="inlineStr">
        <is>
          <t>APFT Status</t>
        </is>
      </c>
      <c r="G9" s="133">
        <f>'MY PROFILE'!C42</f>
        <v/>
      </c>
    </row>
    <row r="10" ht="18" customHeight="1">
      <c r="B10" s="120" t="inlineStr">
        <is>
          <t>SECTION 2 — PME STATUS</t>
        </is>
      </c>
    </row>
    <row r="11" ht="17" customHeight="1">
      <c r="B11" s="134" t="inlineStr">
        <is>
          <t>BLC</t>
        </is>
      </c>
      <c r="C11" s="134" t="inlineStr">
        <is>
          <t>ALC</t>
        </is>
      </c>
      <c r="D11" s="134" t="inlineStr">
        <is>
          <t>SLC</t>
        </is>
      </c>
      <c r="E11" s="134" t="inlineStr">
        <is>
          <t>SMC</t>
        </is>
      </c>
      <c r="F11" s="134" t="inlineStr">
        <is>
          <t>BOLC</t>
        </is>
      </c>
      <c r="G11" s="134" t="inlineStr">
        <is>
          <t>CCC</t>
        </is>
      </c>
      <c r="H11" s="134" t="inlineStr">
        <is>
          <t>ILE</t>
        </is>
      </c>
      <c r="I11" s="134" t="inlineStr">
        <is>
          <t>SSC</t>
        </is>
      </c>
      <c r="J11" s="134" t="inlineStr">
        <is>
          <t>WOBC</t>
        </is>
      </c>
      <c r="K11" s="134" t="inlineStr">
        <is>
          <t>WOAC</t>
        </is>
      </c>
    </row>
    <row r="12" ht="17" customHeight="1">
      <c r="B12" s="135">
        <f>'MY PROFILE'!C16</f>
        <v/>
      </c>
      <c r="C12" s="135">
        <f>'MY PROFILE'!C17</f>
        <v/>
      </c>
      <c r="D12" s="135">
        <f>'MY PROFILE'!C18</f>
        <v/>
      </c>
      <c r="E12" s="135">
        <f>'MY PROFILE'!C19</f>
        <v/>
      </c>
      <c r="F12" s="135">
        <f>'MY PROFILE'!C16</f>
        <v/>
      </c>
      <c r="G12" s="135">
        <f>'MY PROFILE'!C17</f>
        <v/>
      </c>
      <c r="H12" s="135">
        <f>'MY PROFILE'!C18</f>
        <v/>
      </c>
      <c r="I12" s="135">
        <f>'MY PROFILE'!C19</f>
        <v/>
      </c>
      <c r="J12" s="135">
        <f>'MY PROFILE'!G16</f>
        <v/>
      </c>
      <c r="K12" s="135">
        <f>'MY PROFILE'!G17</f>
        <v/>
      </c>
    </row>
    <row r="13" ht="18" customHeight="1">
      <c r="B13" s="122" t="inlineStr">
        <is>
          <t>SECTION 3 — CAREER GOALS</t>
        </is>
      </c>
    </row>
    <row r="14" ht="17" customHeight="1">
      <c r="B14" s="136" t="inlineStr">
        <is>
          <t>Target Rank</t>
        </is>
      </c>
      <c r="C14" s="133">
        <f>'MY PROFILE'!C25</f>
        <v/>
      </c>
      <c r="F14" s="136" t="inlineStr">
        <is>
          <t>Primary Goal</t>
        </is>
      </c>
      <c r="G14" s="133">
        <f>'MY PROFILE'!C26</f>
        <v/>
      </c>
    </row>
    <row r="15" ht="17" customHeight="1">
      <c r="B15" s="136" t="inlineStr">
        <is>
          <t>Goal Timeline</t>
        </is>
      </c>
      <c r="C15" s="133">
        <f>'MY PROFILE'!E25</f>
        <v/>
      </c>
      <c r="F15" s="136" t="inlineStr">
        <is>
          <t>Preferred Status</t>
        </is>
      </c>
      <c r="G15" s="133">
        <f>'MY PROFILE'!G25</f>
        <v/>
      </c>
    </row>
    <row r="16" ht="17" customHeight="1">
      <c r="B16" s="136" t="inlineStr">
        <is>
          <t>Position Type</t>
        </is>
      </c>
      <c r="C16" s="133">
        <f>'MY PROFILE'!C27</f>
        <v/>
      </c>
      <c r="F16" s="136" t="inlineStr">
        <is>
          <t>Open to Command?</t>
        </is>
      </c>
      <c r="G16" s="133">
        <f>'MY PROFILE'!E27</f>
        <v/>
      </c>
    </row>
    <row r="17" ht="17" customHeight="1">
      <c r="B17" s="136" t="inlineStr">
        <is>
          <t>Switch MOS?</t>
        </is>
      </c>
      <c r="C17" s="133">
        <f>'MY PROFILE'!G27</f>
        <v/>
      </c>
      <c r="F17" s="136" t="inlineStr">
        <is>
          <t>WO Interest?</t>
        </is>
      </c>
      <c r="G17" s="133">
        <f>'MY PROFILE'!E28</f>
        <v/>
      </c>
    </row>
    <row r="18" ht="17" customHeight="1">
      <c r="B18" s="136" t="inlineStr">
        <is>
          <t>Willing to Relocate?</t>
        </is>
      </c>
      <c r="C18" s="133">
        <f>'MY PROFILE'!G12</f>
        <v/>
      </c>
      <c r="F18" s="136" t="inlineStr">
        <is>
          <t>Max Commute</t>
        </is>
      </c>
      <c r="G18" s="133">
        <f>'MY PROFILE'!G10</f>
        <v/>
      </c>
    </row>
    <row r="19" ht="17" customHeight="1">
      <c r="B19" s="136" t="inlineStr">
        <is>
          <t>5-Year Goal Statement</t>
        </is>
      </c>
      <c r="C19" s="137">
        <f>'MY PROFILE'!B31</f>
        <v/>
      </c>
    </row>
    <row r="21" ht="18" customHeight="1">
      <c r="B21" s="138" t="inlineStr">
        <is>
          <t>SECTION 4 — TOP POSITION MATCHES (from POSITION MATCHES sheet)</t>
        </is>
      </c>
    </row>
    <row r="22" ht="20" customHeight="1">
      <c r="B22" s="139" t="inlineStr">
        <is>
          <t>Rank</t>
        </is>
      </c>
      <c r="C22" s="139" t="inlineStr">
        <is>
          <t>Unit</t>
        </is>
      </c>
      <c r="D22" s="139" t="inlineStr">
        <is>
          <t>City</t>
        </is>
      </c>
      <c r="E22" s="139" t="inlineStr">
        <is>
          <t>Duty Title</t>
        </is>
      </c>
      <c r="F22" s="139" t="inlineStr">
        <is>
          <t>Duty Title</t>
        </is>
      </c>
      <c r="G22" s="66" t="n"/>
      <c r="H22" s="67" t="n"/>
      <c r="I22" s="139" t="inlineStr">
        <is>
          <t>Match</t>
        </is>
      </c>
      <c r="J22" s="139" t="inlineStr">
        <is>
          <t>Commute</t>
        </is>
      </c>
    </row>
    <row r="23" ht="16" customHeight="1">
      <c r="B23" s="140">
        <f>'POSITION MATCHES'!C6</f>
        <v/>
      </c>
      <c r="C23" s="140">
        <f>'POSITION MATCHES'!D6</f>
        <v/>
      </c>
      <c r="E23" s="140">
        <f>'POSITION MATCHES'!F6</f>
        <v/>
      </c>
      <c r="F23" s="140">
        <f>'POSITION MATCHES'!E6</f>
        <v/>
      </c>
      <c r="I23" s="140">
        <f>'POSITION MATCHES'!K6</f>
        <v/>
      </c>
      <c r="J23" s="140">
        <f>'POSITION MATCHES'!R6</f>
        <v/>
      </c>
      <c r="K23" s="140">
        <f>'POSITION MATCHES'!S6</f>
        <v/>
      </c>
    </row>
    <row r="24" ht="16" customHeight="1">
      <c r="B24" s="106">
        <f>'POSITION MATCHES'!C7</f>
        <v/>
      </c>
      <c r="C24" s="106">
        <f>'POSITION MATCHES'!D7</f>
        <v/>
      </c>
      <c r="E24" s="106">
        <f>'POSITION MATCHES'!F7</f>
        <v/>
      </c>
      <c r="F24" s="106">
        <f>'POSITION MATCHES'!E7</f>
        <v/>
      </c>
      <c r="I24" s="106">
        <f>'POSITION MATCHES'!K7</f>
        <v/>
      </c>
      <c r="J24" s="106">
        <f>'POSITION MATCHES'!R7</f>
        <v/>
      </c>
      <c r="K24" s="106">
        <f>'POSITION MATCHES'!S7</f>
        <v/>
      </c>
    </row>
    <row r="25" ht="16" customHeight="1">
      <c r="B25" s="140">
        <f>'POSITION MATCHES'!C8</f>
        <v/>
      </c>
      <c r="C25" s="140">
        <f>'POSITION MATCHES'!D8</f>
        <v/>
      </c>
      <c r="E25" s="140">
        <f>'POSITION MATCHES'!F8</f>
        <v/>
      </c>
      <c r="F25" s="140">
        <f>'POSITION MATCHES'!E8</f>
        <v/>
      </c>
      <c r="I25" s="140">
        <f>'POSITION MATCHES'!K8</f>
        <v/>
      </c>
      <c r="J25" s="140">
        <f>'POSITION MATCHES'!R8</f>
        <v/>
      </c>
      <c r="K25" s="140">
        <f>'POSITION MATCHES'!S8</f>
        <v/>
      </c>
    </row>
    <row r="26" ht="16" customHeight="1">
      <c r="B26" s="106">
        <f>'POSITION MATCHES'!C9</f>
        <v/>
      </c>
      <c r="C26" s="106">
        <f>'POSITION MATCHES'!D9</f>
        <v/>
      </c>
      <c r="E26" s="106">
        <f>'POSITION MATCHES'!F9</f>
        <v/>
      </c>
      <c r="F26" s="106">
        <f>'POSITION MATCHES'!E9</f>
        <v/>
      </c>
      <c r="I26" s="106">
        <f>'POSITION MATCHES'!K9</f>
        <v/>
      </c>
      <c r="J26" s="106">
        <f>'POSITION MATCHES'!R9</f>
        <v/>
      </c>
      <c r="K26" s="106">
        <f>'POSITION MATCHES'!S9</f>
        <v/>
      </c>
    </row>
    <row r="27" ht="16" customHeight="1">
      <c r="B27" s="140">
        <f>'POSITION MATCHES'!C10</f>
        <v/>
      </c>
      <c r="C27" s="140">
        <f>'POSITION MATCHES'!D10</f>
        <v/>
      </c>
      <c r="E27" s="140">
        <f>'POSITION MATCHES'!F10</f>
        <v/>
      </c>
      <c r="F27" s="140">
        <f>'POSITION MATCHES'!E10</f>
        <v/>
      </c>
      <c r="I27" s="140">
        <f>'POSITION MATCHES'!K10</f>
        <v/>
      </c>
      <c r="J27" s="140">
        <f>'POSITION MATCHES'!R10</f>
        <v/>
      </c>
      <c r="K27" s="140">
        <f>'POSITION MATCHES'!S10</f>
        <v/>
      </c>
    </row>
    <row r="29" ht="18" customHeight="1">
      <c r="B29" s="121" t="inlineStr">
        <is>
          <t>SECTION 5 — GAPS TO CLOSE (Complete before next board/assignment)</t>
        </is>
      </c>
    </row>
    <row r="30" ht="16" customHeight="1">
      <c r="B30" s="141" t="inlineStr">
        <is>
          <t>PME Required</t>
        </is>
      </c>
      <c r="C30" s="142">
        <f>'MY PROFILE'!C17</f>
        <v/>
      </c>
      <c r="F30" s="141" t="inlineStr">
        <is>
          <t>Status</t>
        </is>
      </c>
      <c r="G30" s="137">
        <f>'MY PROFILE'!C17</f>
        <v/>
      </c>
    </row>
    <row r="31" ht="16" customHeight="1">
      <c r="B31" s="141" t="inlineStr">
        <is>
          <t>Schools Recommended</t>
        </is>
      </c>
      <c r="C31" s="143" t="inlineStr">
        <is>
          <t>SLC — see PME sheet</t>
        </is>
      </c>
      <c r="F31" s="141" t="inlineStr">
        <is>
          <t>Timeline</t>
        </is>
      </c>
      <c r="G31" s="144" t="inlineStr">
        <is>
          <t>Within 2 years</t>
        </is>
      </c>
    </row>
    <row r="32" ht="16" customHeight="1">
      <c r="B32" s="141" t="inlineStr">
        <is>
          <t>MOS Qualification</t>
        </is>
      </c>
      <c r="C32" s="142" t="inlineStr">
        <is>
          <t>N/A — current MOS qualified</t>
        </is>
      </c>
      <c r="F32" s="141" t="inlineStr">
        <is>
          <t>Action</t>
        </is>
      </c>
      <c r="G32" s="137" t="inlineStr">
        <is>
          <t>Maintain currency</t>
        </is>
      </c>
    </row>
    <row r="33" ht="16" customHeight="1">
      <c r="B33" s="141" t="inlineStr">
        <is>
          <t>Deployment / OCONUS</t>
        </is>
      </c>
      <c r="C33" s="143">
        <f>'MY PROFILE'!G42</f>
        <v/>
      </c>
      <c r="F33" s="141" t="inlineStr">
        <is>
          <t>Impact</t>
        </is>
      </c>
      <c r="G33" s="144" t="inlineStr">
        <is>
          <t>Points toward senior boards</t>
        </is>
      </c>
    </row>
    <row r="34" ht="16" customHeight="1">
      <c r="B34" s="141" t="inlineStr">
        <is>
          <t>Education Goal</t>
        </is>
      </c>
      <c r="C34" s="142">
        <f>'MY PROFILE'!C22</f>
        <v/>
      </c>
      <c r="F34" s="141" t="inlineStr">
        <is>
          <t>Gap</t>
        </is>
      </c>
      <c r="G34" s="137" t="inlineStr">
        <is>
          <t>Complete bachelor's degree</t>
        </is>
      </c>
    </row>
    <row r="36" ht="18" customHeight="1">
      <c r="B36" s="122" t="inlineStr">
        <is>
          <t>SECTION 6 — SUGGESTED NEAR-TERM CAREER PATHWAY</t>
        </is>
      </c>
    </row>
    <row r="37" ht="22" customHeight="1">
      <c r="B37" s="145" t="inlineStr">
        <is>
          <t>NOW (0–2 yrs)</t>
        </is>
      </c>
      <c r="C37" s="146" t="inlineStr">
        <is>
          <t>Complete ALC. Stay in current position. Build NCOER support file. Target E6 board.</t>
        </is>
      </c>
    </row>
    <row r="38" ht="22" customHeight="1">
      <c r="B38" s="139" t="inlineStr">
        <is>
          <t>MID (2–5 yrs)</t>
        </is>
      </c>
      <c r="C38" s="147" t="inlineStr">
        <is>
          <t>Move to Squad Leader / NCOIC role. Attend SLC. Consider AGR conversion opportunity.</t>
        </is>
      </c>
    </row>
    <row r="39" ht="22" customHeight="1">
      <c r="B39" s="148" t="inlineStr">
        <is>
          <t>GOAL (5–10 yrs)</t>
        </is>
      </c>
      <c r="C39" s="149" t="inlineStr">
        <is>
          <t>Compete for SFC. Seek platoon sergeant billet. Position near Helena or AGR statewide.</t>
        </is>
      </c>
    </row>
    <row r="40" ht="18" customHeight="1">
      <c r="B40" s="138" t="inlineStr">
        <is>
          <t>SECTION 7 — DISCUSSION POINTS FOR THIS COUNSELING SESSION</t>
        </is>
      </c>
    </row>
    <row r="41" ht="15" customHeight="1">
      <c r="B41" s="147" t="inlineStr">
        <is>
          <t>1.  Next promotion board — Is the Soldier on track? What does the senior rater need to see?</t>
        </is>
      </c>
    </row>
    <row r="42" ht="15" customHeight="1">
      <c r="B42" s="142" t="inlineStr">
        <is>
          <t>2.  Position of Interest — Are the matched positions realistic? Is command/KD needed?</t>
        </is>
      </c>
    </row>
    <row r="43" ht="15" customHeight="1">
      <c r="B43" s="147" t="inlineStr">
        <is>
          <t>3.  AGR opportunity — Is the Soldier interested? Any open AGR billets to discuss?</t>
        </is>
      </c>
    </row>
    <row r="44" ht="15" customHeight="1">
      <c r="B44" s="142" t="inlineStr">
        <is>
          <t>4.  PME gaps — When will the Soldier attend the next required school?</t>
        </is>
      </c>
    </row>
    <row r="45" ht="15" customHeight="1">
      <c r="B45" s="147" t="inlineStr">
        <is>
          <t>5.  Commute and relocation — Are geographic constraints realistic for stated goals?</t>
        </is>
      </c>
    </row>
    <row r="46" ht="15" customHeight="1">
      <c r="B46" s="142" t="inlineStr">
        <is>
          <t>6.  MOS switch or branch transfer — Is this being considered? What are the steps?</t>
        </is>
      </c>
    </row>
    <row r="47" ht="15" customHeight="1">
      <c r="B47" s="147" t="inlineStr">
        <is>
          <t>7.  Warrant Officer program — Any interest? SIFT score and physical status?</t>
        </is>
      </c>
    </row>
    <row r="48" ht="15" customHeight="1">
      <c r="B48" s="142" t="inlineStr">
        <is>
          <t>8.  Senior rater support — Does the Soldier understand what the senior rater needs to say?</t>
        </is>
      </c>
    </row>
    <row r="49" ht="15" customHeight="1">
      <c r="B49" s="147" t="inlineStr">
        <is>
          <t>9.  ETS / retention planning — Does the Soldier plan to re-enlist? What incentives exist?</t>
        </is>
      </c>
    </row>
    <row r="50" ht="15" customHeight="1">
      <c r="B50" s="142" t="inlineStr">
        <is>
          <t>10. Mentorship — Who is the Soldier's mentor? Is there a plan for regular touchpoints?</t>
        </is>
      </c>
    </row>
    <row r="52" ht="18" customHeight="1">
      <c r="B52" s="114" t="inlineStr">
        <is>
          <t>SIGNATURES</t>
        </is>
      </c>
    </row>
    <row r="53" ht="22" customHeight="1">
      <c r="B53" s="150" t="inlineStr">
        <is>
          <t>Soldier Signature / Date</t>
        </is>
      </c>
      <c r="E53" s="150" t="inlineStr">
        <is>
          <t>Mentor / Rater Signature / Date</t>
        </is>
      </c>
      <c r="H53" s="150" t="inlineStr">
        <is>
          <t>Senior Rater Signature / Date</t>
        </is>
      </c>
    </row>
    <row r="54" ht="18" customHeight="1">
      <c r="B54" s="151" t="inlineStr">
        <is>
          <t>MTARNG Career Planning Tool v1.0  |  DEMO DATA — Replace admin reference sheets with real MTARNG data before operational use</t>
        </is>
      </c>
    </row>
  </sheetData>
  <mergeCells count="61">
    <mergeCell ref="C16:E16"/>
    <mergeCell ref="B49:K49"/>
    <mergeCell ref="B40:K40"/>
    <mergeCell ref="C31:E31"/>
    <mergeCell ref="C9:E9"/>
    <mergeCell ref="B53:D53"/>
    <mergeCell ref="G8:K8"/>
    <mergeCell ref="B36:K36"/>
    <mergeCell ref="G17:K17"/>
    <mergeCell ref="B45:K45"/>
    <mergeCell ref="B41:K41"/>
    <mergeCell ref="G7:K7"/>
    <mergeCell ref="F22:H22"/>
    <mergeCell ref="B50:K50"/>
    <mergeCell ref="C8:E8"/>
    <mergeCell ref="C17:E17"/>
    <mergeCell ref="C39:K39"/>
    <mergeCell ref="B47:K47"/>
    <mergeCell ref="C7:E7"/>
    <mergeCell ref="B54:K54"/>
    <mergeCell ref="G6:K6"/>
    <mergeCell ref="B3:K3"/>
    <mergeCell ref="G18:K18"/>
    <mergeCell ref="C32:E32"/>
    <mergeCell ref="C38:K38"/>
    <mergeCell ref="B46:K46"/>
    <mergeCell ref="G30:K30"/>
    <mergeCell ref="G34:K34"/>
    <mergeCell ref="G15:K15"/>
    <mergeCell ref="C19:K19"/>
    <mergeCell ref="C37:K37"/>
    <mergeCell ref="E53:G53"/>
    <mergeCell ref="B52:K52"/>
    <mergeCell ref="B21:K21"/>
    <mergeCell ref="C18:E18"/>
    <mergeCell ref="G14:K14"/>
    <mergeCell ref="G33:K33"/>
    <mergeCell ref="B43:K43"/>
    <mergeCell ref="G5:K5"/>
    <mergeCell ref="B2:K2"/>
    <mergeCell ref="C30:E30"/>
    <mergeCell ref="B48:K48"/>
    <mergeCell ref="C34:E34"/>
    <mergeCell ref="C15:E15"/>
    <mergeCell ref="B42:K42"/>
    <mergeCell ref="H53:J53"/>
    <mergeCell ref="C6:E6"/>
    <mergeCell ref="G4:K4"/>
    <mergeCell ref="C33:E33"/>
    <mergeCell ref="C14:E14"/>
    <mergeCell ref="B1:K1"/>
    <mergeCell ref="C5:E5"/>
    <mergeCell ref="B13:K13"/>
    <mergeCell ref="G16:K16"/>
    <mergeCell ref="G32:K32"/>
    <mergeCell ref="B44:K44"/>
    <mergeCell ref="C4:E4"/>
    <mergeCell ref="B29:K29"/>
    <mergeCell ref="G31:K31"/>
    <mergeCell ref="B10:K10"/>
    <mergeCell ref="G9:K9"/>
  </mergeCells>
  <pageMargins left="0.5" right="0.5" top="0.5" bottom="0.5" header="0.3" footer="0.3"/>
  <pageSetup orientation="portrait" paperSize="1" fitToHeight="1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R8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6" customWidth="1" min="4" max="4"/>
    <col width="28" customWidth="1" min="5" max="5"/>
    <col width="8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  <col width="12" customWidth="1" min="13" max="13"/>
    <col width="16" customWidth="1" min="14" max="14"/>
    <col width="16" customWidth="1" min="15" max="15"/>
    <col width="14" customWidth="1" min="16" max="16"/>
    <col width="35" customWidth="1" min="17" max="17"/>
    <col width="10" customWidth="1" min="18" max="18"/>
  </cols>
  <sheetData>
    <row r="1" ht="20" customHeight="1">
      <c r="A1" s="23" t="inlineStr">
        <is>
          <t>⚠ ADMIN SHEET — POSITION REFERENCE DATABASE | Replace [DEMO] rows with real MTARNG UMR/MTOE data</t>
        </is>
      </c>
    </row>
    <row r="2" ht="30" customHeight="1">
      <c r="A2" s="24" t="inlineStr">
        <is>
          <t>Row ID</t>
        </is>
      </c>
      <c r="B2" s="24" t="inlineStr">
        <is>
          <t>Unit Name</t>
        </is>
      </c>
      <c r="C2" s="24" t="inlineStr">
        <is>
          <t>UIC</t>
        </is>
      </c>
      <c r="D2" s="24" t="inlineStr">
        <is>
          <t>City / Location</t>
        </is>
      </c>
      <c r="E2" s="24" t="inlineStr">
        <is>
          <t>Duty Title</t>
        </is>
      </c>
      <c r="F2" s="24" t="inlineStr">
        <is>
          <t>Grade</t>
        </is>
      </c>
      <c r="G2" s="24" t="inlineStr">
        <is>
          <t>Career Category</t>
        </is>
      </c>
      <c r="H2" s="24" t="inlineStr">
        <is>
          <t>MOS / AOC</t>
        </is>
      </c>
      <c r="I2" s="24" t="inlineStr">
        <is>
          <t>Branch / FA</t>
        </is>
      </c>
      <c r="J2" s="24" t="inlineStr">
        <is>
          <t>Position Type</t>
        </is>
      </c>
      <c r="K2" s="24" t="inlineStr">
        <is>
          <t>Command or KD</t>
        </is>
      </c>
      <c r="L2" s="24" t="inlineStr">
        <is>
          <t>Status Type</t>
        </is>
      </c>
      <c r="M2" s="24" t="inlineStr">
        <is>
          <t>Vacancy Status</t>
        </is>
      </c>
      <c r="N2" s="24" t="inlineStr">
        <is>
          <t>Proj Vacancy Date</t>
        </is>
      </c>
      <c r="O2" s="24" t="inlineStr">
        <is>
          <t>Secondary MOS OK</t>
        </is>
      </c>
      <c r="P2" s="24" t="inlineStr">
        <is>
          <t>Match Weight Override</t>
        </is>
      </c>
      <c r="Q2" s="24" t="inlineStr">
        <is>
          <t>Notes</t>
        </is>
      </c>
      <c r="R2" s="24" t="inlineStr">
        <is>
          <t>DEMO FLAG</t>
        </is>
      </c>
    </row>
    <row r="3">
      <c r="A3" s="25" t="n">
        <v>1</v>
      </c>
      <c r="B3" s="25" t="inlineStr">
        <is>
          <t>1-189th IN BN, A Co</t>
        </is>
      </c>
      <c r="C3" s="25" t="inlineStr">
        <is>
          <t>W4MMB3</t>
        </is>
      </c>
      <c r="D3" s="25" t="inlineStr">
        <is>
          <t>Billings</t>
        </is>
      </c>
      <c r="E3" s="25" t="inlineStr">
        <is>
          <t>Rifle Team Leader</t>
        </is>
      </c>
      <c r="F3" s="25" t="inlineStr">
        <is>
          <t>E5</t>
        </is>
      </c>
      <c r="G3" s="25" t="inlineStr">
        <is>
          <t>Enlisted</t>
        </is>
      </c>
      <c r="H3" s="25" t="inlineStr">
        <is>
          <t>11B</t>
        </is>
      </c>
      <c r="I3" s="25" t="inlineStr">
        <is>
          <t>IN</t>
        </is>
      </c>
      <c r="J3" s="25" t="inlineStr">
        <is>
          <t>Leadership</t>
        </is>
      </c>
      <c r="K3" s="25" t="inlineStr">
        <is>
          <t>No</t>
        </is>
      </c>
      <c r="L3" s="25" t="inlineStr">
        <is>
          <t>M-Day</t>
        </is>
      </c>
      <c r="M3" s="25" t="inlineStr">
        <is>
          <t>Filled</t>
        </is>
      </c>
      <c r="N3" s="25" t="inlineStr"/>
      <c r="O3" s="25" t="inlineStr"/>
      <c r="P3" s="25" t="inlineStr"/>
      <c r="Q3" s="25" t="inlineStr">
        <is>
          <t>Squad/team ldr pos</t>
        </is>
      </c>
      <c r="R3" s="26" t="inlineStr">
        <is>
          <t>[DEMO]</t>
        </is>
      </c>
    </row>
    <row r="4">
      <c r="A4" s="27" t="n">
        <v>2</v>
      </c>
      <c r="B4" s="27" t="inlineStr">
        <is>
          <t>1-189th IN BN, A Co</t>
        </is>
      </c>
      <c r="C4" s="27" t="inlineStr">
        <is>
          <t>W4MMB3</t>
        </is>
      </c>
      <c r="D4" s="27" t="inlineStr">
        <is>
          <t>Billings</t>
        </is>
      </c>
      <c r="E4" s="27" t="inlineStr">
        <is>
          <t>Squad Leader</t>
        </is>
      </c>
      <c r="F4" s="27" t="inlineStr">
        <is>
          <t>E6</t>
        </is>
      </c>
      <c r="G4" s="27" t="inlineStr">
        <is>
          <t>Enlisted</t>
        </is>
      </c>
      <c r="H4" s="27" t="inlineStr">
        <is>
          <t>11B</t>
        </is>
      </c>
      <c r="I4" s="27" t="inlineStr">
        <is>
          <t>IN</t>
        </is>
      </c>
      <c r="J4" s="27" t="inlineStr">
        <is>
          <t>Leadership</t>
        </is>
      </c>
      <c r="K4" s="27" t="inlineStr">
        <is>
          <t>Yes</t>
        </is>
      </c>
      <c r="L4" s="27" t="inlineStr">
        <is>
          <t>M-Day</t>
        </is>
      </c>
      <c r="M4" s="27" t="inlineStr">
        <is>
          <t>Vacant</t>
        </is>
      </c>
      <c r="N4" s="27" t="inlineStr">
        <is>
          <t>2026-09-01</t>
        </is>
      </c>
      <c r="O4" s="27" t="inlineStr"/>
      <c r="P4" s="27" t="inlineStr"/>
      <c r="Q4" s="27" t="inlineStr">
        <is>
          <t>KD for promotable SSG</t>
        </is>
      </c>
      <c r="R4" s="26" t="inlineStr">
        <is>
          <t>[DEMO]</t>
        </is>
      </c>
    </row>
    <row r="5">
      <c r="A5" s="25" t="n">
        <v>3</v>
      </c>
      <c r="B5" s="25" t="inlineStr">
        <is>
          <t>1-189th IN BN, HHC</t>
        </is>
      </c>
      <c r="C5" s="25" t="inlineStr">
        <is>
          <t>W4MMB4</t>
        </is>
      </c>
      <c r="D5" s="25" t="inlineStr">
        <is>
          <t>Billings</t>
        </is>
      </c>
      <c r="E5" s="25" t="inlineStr">
        <is>
          <t>Operations SGT</t>
        </is>
      </c>
      <c r="F5" s="25" t="inlineStr">
        <is>
          <t>E7</t>
        </is>
      </c>
      <c r="G5" s="25" t="inlineStr">
        <is>
          <t>Enlisted</t>
        </is>
      </c>
      <c r="H5" s="25" t="inlineStr">
        <is>
          <t>11B</t>
        </is>
      </c>
      <c r="I5" s="25" t="inlineStr">
        <is>
          <t>IN</t>
        </is>
      </c>
      <c r="J5" s="25" t="inlineStr">
        <is>
          <t>Staff</t>
        </is>
      </c>
      <c r="K5" s="25" t="inlineStr">
        <is>
          <t>No</t>
        </is>
      </c>
      <c r="L5" s="25" t="inlineStr">
        <is>
          <t>M-Day</t>
        </is>
      </c>
      <c r="M5" s="25" t="inlineStr">
        <is>
          <t>Filled</t>
        </is>
      </c>
      <c r="N5" s="25" t="inlineStr"/>
      <c r="O5" s="25" t="inlineStr"/>
      <c r="P5" s="25" t="inlineStr"/>
      <c r="Q5" s="25" t="inlineStr">
        <is>
          <t>Batt ops shop</t>
        </is>
      </c>
      <c r="R5" s="26" t="inlineStr">
        <is>
          <t>[DEMO]</t>
        </is>
      </c>
    </row>
    <row r="6">
      <c r="A6" s="27" t="n">
        <v>4</v>
      </c>
      <c r="B6" s="27" t="inlineStr">
        <is>
          <t>1-189th IN BN, HHC</t>
        </is>
      </c>
      <c r="C6" s="27" t="inlineStr">
        <is>
          <t>W4MMB4</t>
        </is>
      </c>
      <c r="D6" s="27" t="inlineStr">
        <is>
          <t>Billings</t>
        </is>
      </c>
      <c r="E6" s="27" t="inlineStr">
        <is>
          <t>Readiness NCO</t>
        </is>
      </c>
      <c r="F6" s="27" t="inlineStr">
        <is>
          <t>E7</t>
        </is>
      </c>
      <c r="G6" s="27" t="inlineStr">
        <is>
          <t>Enlisted</t>
        </is>
      </c>
      <c r="H6" s="27" t="inlineStr">
        <is>
          <t>92Y</t>
        </is>
      </c>
      <c r="I6" s="27" t="inlineStr">
        <is>
          <t>AG</t>
        </is>
      </c>
      <c r="J6" s="27" t="inlineStr">
        <is>
          <t>Staff</t>
        </is>
      </c>
      <c r="K6" s="27" t="inlineStr">
        <is>
          <t>No</t>
        </is>
      </c>
      <c r="L6" s="27" t="inlineStr">
        <is>
          <t>AGR</t>
        </is>
      </c>
      <c r="M6" s="27" t="inlineStr">
        <is>
          <t>Filled</t>
        </is>
      </c>
      <c r="N6" s="27" t="inlineStr"/>
      <c r="O6" s="27" t="inlineStr"/>
      <c r="P6" s="27" t="inlineStr"/>
      <c r="Q6" s="27" t="inlineStr">
        <is>
          <t>Full-time readiness</t>
        </is>
      </c>
      <c r="R6" s="26" t="inlineStr">
        <is>
          <t>[DEMO]</t>
        </is>
      </c>
    </row>
    <row r="7">
      <c r="A7" s="25" t="n">
        <v>5</v>
      </c>
      <c r="B7" s="25" t="inlineStr">
        <is>
          <t>1-189th IN BN, HHC</t>
        </is>
      </c>
      <c r="C7" s="25" t="inlineStr">
        <is>
          <t>W4MMB4</t>
        </is>
      </c>
      <c r="D7" s="25" t="inlineStr">
        <is>
          <t>Billings</t>
        </is>
      </c>
      <c r="E7" s="25" t="inlineStr">
        <is>
          <t>S4 NCOIC</t>
        </is>
      </c>
      <c r="F7" s="25" t="inlineStr">
        <is>
          <t>E7</t>
        </is>
      </c>
      <c r="G7" s="25" t="inlineStr">
        <is>
          <t>Enlisted</t>
        </is>
      </c>
      <c r="H7" s="25" t="inlineStr">
        <is>
          <t>92Y</t>
        </is>
      </c>
      <c r="I7" s="25" t="inlineStr">
        <is>
          <t>LG</t>
        </is>
      </c>
      <c r="J7" s="25" t="inlineStr">
        <is>
          <t>Staff</t>
        </is>
      </c>
      <c r="K7" s="25" t="inlineStr">
        <is>
          <t>No</t>
        </is>
      </c>
      <c r="L7" s="25" t="inlineStr">
        <is>
          <t>M-Day</t>
        </is>
      </c>
      <c r="M7" s="25" t="inlineStr">
        <is>
          <t>Vacant</t>
        </is>
      </c>
      <c r="N7" s="25" t="inlineStr"/>
      <c r="O7" s="25" t="inlineStr"/>
      <c r="P7" s="25" t="inlineStr"/>
      <c r="Q7" s="25" t="inlineStr">
        <is>
          <t>Log/supply focus</t>
        </is>
      </c>
      <c r="R7" s="26" t="inlineStr">
        <is>
          <t>[DEMO]</t>
        </is>
      </c>
    </row>
    <row r="8">
      <c r="A8" s="27" t="n">
        <v>6</v>
      </c>
      <c r="B8" s="27" t="inlineStr">
        <is>
          <t>1-189th IN BN, HHC</t>
        </is>
      </c>
      <c r="C8" s="27" t="inlineStr">
        <is>
          <t>W4MMB4</t>
        </is>
      </c>
      <c r="D8" s="27" t="inlineStr">
        <is>
          <t>Billings</t>
        </is>
      </c>
      <c r="E8" s="27" t="inlineStr">
        <is>
          <t>1SG, A Co</t>
        </is>
      </c>
      <c r="F8" s="27" t="inlineStr">
        <is>
          <t>E8</t>
        </is>
      </c>
      <c r="G8" s="27" t="inlineStr">
        <is>
          <t>Enlisted</t>
        </is>
      </c>
      <c r="H8" s="27" t="inlineStr">
        <is>
          <t>11B</t>
        </is>
      </c>
      <c r="I8" s="27" t="inlineStr">
        <is>
          <t>IN</t>
        </is>
      </c>
      <c r="J8" s="27" t="inlineStr">
        <is>
          <t>Command</t>
        </is>
      </c>
      <c r="K8" s="27" t="inlineStr">
        <is>
          <t>Yes</t>
        </is>
      </c>
      <c r="L8" s="27" t="inlineStr">
        <is>
          <t>M-Day</t>
        </is>
      </c>
      <c r="M8" s="27" t="inlineStr">
        <is>
          <t>Filled</t>
        </is>
      </c>
      <c r="N8" s="27" t="inlineStr"/>
      <c r="O8" s="27" t="inlineStr"/>
      <c r="P8" s="27" t="inlineStr"/>
      <c r="Q8" s="27" t="inlineStr">
        <is>
          <t>Senior Enlisted Leader</t>
        </is>
      </c>
      <c r="R8" s="26" t="inlineStr">
        <is>
          <t>[DEMO]</t>
        </is>
      </c>
    </row>
    <row r="9">
      <c r="A9" s="25" t="n">
        <v>7</v>
      </c>
      <c r="B9" s="25" t="inlineStr">
        <is>
          <t>1-189th IN BN</t>
        </is>
      </c>
      <c r="C9" s="25" t="inlineStr">
        <is>
          <t>W4MMB4</t>
        </is>
      </c>
      <c r="D9" s="25" t="inlineStr">
        <is>
          <t>Billings</t>
        </is>
      </c>
      <c r="E9" s="25" t="inlineStr">
        <is>
          <t>CSM, 1-189th IN BN</t>
        </is>
      </c>
      <c r="F9" s="25" t="inlineStr">
        <is>
          <t>E9</t>
        </is>
      </c>
      <c r="G9" s="25" t="inlineStr">
        <is>
          <t>Enlisted</t>
        </is>
      </c>
      <c r="H9" s="25" t="inlineStr">
        <is>
          <t>11B</t>
        </is>
      </c>
      <c r="I9" s="25" t="inlineStr">
        <is>
          <t>IN</t>
        </is>
      </c>
      <c r="J9" s="25" t="inlineStr">
        <is>
          <t>Command</t>
        </is>
      </c>
      <c r="K9" s="25" t="inlineStr">
        <is>
          <t>Yes</t>
        </is>
      </c>
      <c r="L9" s="25" t="inlineStr">
        <is>
          <t>M-Day</t>
        </is>
      </c>
      <c r="M9" s="25" t="inlineStr">
        <is>
          <t>Filled</t>
        </is>
      </c>
      <c r="N9" s="25" t="inlineStr">
        <is>
          <t>2027-06-01</t>
        </is>
      </c>
      <c r="O9" s="25" t="inlineStr"/>
      <c r="P9" s="25" t="inlineStr"/>
      <c r="Q9" s="25" t="inlineStr">
        <is>
          <t>BN CSM</t>
        </is>
      </c>
      <c r="R9" s="26" t="inlineStr">
        <is>
          <t>[DEMO]</t>
        </is>
      </c>
    </row>
    <row r="10">
      <c r="A10" s="27" t="n">
        <v>8</v>
      </c>
      <c r="B10" s="27" t="inlineStr">
        <is>
          <t>1-189th IN BN</t>
        </is>
      </c>
      <c r="C10" s="27" t="inlineStr">
        <is>
          <t>W4MMB4</t>
        </is>
      </c>
      <c r="D10" s="27" t="inlineStr">
        <is>
          <t>Billings</t>
        </is>
      </c>
      <c r="E10" s="27" t="inlineStr">
        <is>
          <t>S3, 1-189th IN BN</t>
        </is>
      </c>
      <c r="F10" s="27" t="inlineStr">
        <is>
          <t>O3</t>
        </is>
      </c>
      <c r="G10" s="27" t="inlineStr">
        <is>
          <t>Officer</t>
        </is>
      </c>
      <c r="H10" s="27" t="inlineStr">
        <is>
          <t>11A</t>
        </is>
      </c>
      <c r="I10" s="27" t="inlineStr">
        <is>
          <t>IN</t>
        </is>
      </c>
      <c r="J10" s="27" t="inlineStr">
        <is>
          <t>Staff</t>
        </is>
      </c>
      <c r="K10" s="27" t="inlineStr">
        <is>
          <t>Yes</t>
        </is>
      </c>
      <c r="L10" s="27" t="inlineStr">
        <is>
          <t>M-Day</t>
        </is>
      </c>
      <c r="M10" s="27" t="inlineStr">
        <is>
          <t>Filled</t>
        </is>
      </c>
      <c r="N10" s="27" t="inlineStr"/>
      <c r="O10" s="27" t="inlineStr"/>
      <c r="P10" s="27" t="inlineStr"/>
      <c r="Q10" s="27" t="inlineStr">
        <is>
          <t>KD staff tour</t>
        </is>
      </c>
      <c r="R10" s="26" t="inlineStr">
        <is>
          <t>[DEMO]</t>
        </is>
      </c>
    </row>
    <row r="11">
      <c r="A11" s="25" t="n">
        <v>9</v>
      </c>
      <c r="B11" s="25" t="inlineStr">
        <is>
          <t>1-189th IN BN</t>
        </is>
      </c>
      <c r="C11" s="25" t="inlineStr">
        <is>
          <t>W4MMB4</t>
        </is>
      </c>
      <c r="D11" s="25" t="inlineStr">
        <is>
          <t>Billings</t>
        </is>
      </c>
      <c r="E11" s="25" t="inlineStr">
        <is>
          <t>CDR, A Co, 1-189th IN BN</t>
        </is>
      </c>
      <c r="F11" s="25" t="inlineStr">
        <is>
          <t>O3</t>
        </is>
      </c>
      <c r="G11" s="25" t="inlineStr">
        <is>
          <t>Officer</t>
        </is>
      </c>
      <c r="H11" s="25" t="inlineStr">
        <is>
          <t>11A</t>
        </is>
      </c>
      <c r="I11" s="25" t="inlineStr">
        <is>
          <t>IN</t>
        </is>
      </c>
      <c r="J11" s="25" t="inlineStr">
        <is>
          <t>Command</t>
        </is>
      </c>
      <c r="K11" s="25" t="inlineStr">
        <is>
          <t>Yes</t>
        </is>
      </c>
      <c r="L11" s="25" t="inlineStr">
        <is>
          <t>M-Day</t>
        </is>
      </c>
      <c r="M11" s="25" t="inlineStr">
        <is>
          <t>Vacant</t>
        </is>
      </c>
      <c r="N11" s="25" t="inlineStr">
        <is>
          <t>2026-07-01</t>
        </is>
      </c>
      <c r="O11" s="25" t="inlineStr"/>
      <c r="P11" s="25" t="inlineStr"/>
      <c r="Q11" s="25" t="inlineStr">
        <is>
          <t>Company command window</t>
        </is>
      </c>
      <c r="R11" s="26" t="inlineStr">
        <is>
          <t>[DEMO]</t>
        </is>
      </c>
    </row>
    <row r="12">
      <c r="A12" s="27" t="n">
        <v>10</v>
      </c>
      <c r="B12" s="27" t="inlineStr">
        <is>
          <t>1-189th IN BN</t>
        </is>
      </c>
      <c r="C12" s="27" t="inlineStr">
        <is>
          <t>W4MMB4</t>
        </is>
      </c>
      <c r="D12" s="27" t="inlineStr">
        <is>
          <t>Billings</t>
        </is>
      </c>
      <c r="E12" s="27" t="inlineStr">
        <is>
          <t>XO, 1-189th IN BN</t>
        </is>
      </c>
      <c r="F12" s="27" t="inlineStr">
        <is>
          <t>O4</t>
        </is>
      </c>
      <c r="G12" s="27" t="inlineStr">
        <is>
          <t>Officer</t>
        </is>
      </c>
      <c r="H12" s="27" t="inlineStr">
        <is>
          <t>11A</t>
        </is>
      </c>
      <c r="I12" s="27" t="inlineStr">
        <is>
          <t>IN</t>
        </is>
      </c>
      <c r="J12" s="27" t="inlineStr">
        <is>
          <t>Staff</t>
        </is>
      </c>
      <c r="K12" s="27" t="inlineStr">
        <is>
          <t>Yes</t>
        </is>
      </c>
      <c r="L12" s="27" t="inlineStr">
        <is>
          <t>M-Day</t>
        </is>
      </c>
      <c r="M12" s="27" t="inlineStr">
        <is>
          <t>Filled</t>
        </is>
      </c>
      <c r="N12" s="27" t="inlineStr"/>
      <c r="O12" s="27" t="inlineStr"/>
      <c r="P12" s="27" t="inlineStr"/>
      <c r="Q12" s="27" t="inlineStr">
        <is>
          <t>BN XO</t>
        </is>
      </c>
      <c r="R12" s="26" t="inlineStr">
        <is>
          <t>[DEMO]</t>
        </is>
      </c>
    </row>
    <row r="13">
      <c r="A13" s="25" t="n">
        <v>11</v>
      </c>
      <c r="B13" s="25" t="inlineStr">
        <is>
          <t>1-189th IN BN</t>
        </is>
      </c>
      <c r="C13" s="25" t="inlineStr">
        <is>
          <t>W4MMB4</t>
        </is>
      </c>
      <c r="D13" s="25" t="inlineStr">
        <is>
          <t>Billings</t>
        </is>
      </c>
      <c r="E13" s="25" t="inlineStr">
        <is>
          <t>CDR, 1-189th IN BN</t>
        </is>
      </c>
      <c r="F13" s="25" t="inlineStr">
        <is>
          <t>O5</t>
        </is>
      </c>
      <c r="G13" s="25" t="inlineStr">
        <is>
          <t>Officer</t>
        </is>
      </c>
      <c r="H13" s="25" t="inlineStr">
        <is>
          <t>11A</t>
        </is>
      </c>
      <c r="I13" s="25" t="inlineStr">
        <is>
          <t>IN</t>
        </is>
      </c>
      <c r="J13" s="25" t="inlineStr">
        <is>
          <t>Command</t>
        </is>
      </c>
      <c r="K13" s="25" t="inlineStr">
        <is>
          <t>Yes</t>
        </is>
      </c>
      <c r="L13" s="25" t="inlineStr">
        <is>
          <t>M-Day</t>
        </is>
      </c>
      <c r="M13" s="25" t="inlineStr">
        <is>
          <t>Filled</t>
        </is>
      </c>
      <c r="N13" s="25" t="inlineStr">
        <is>
          <t>2028-01-01</t>
        </is>
      </c>
      <c r="O13" s="25" t="inlineStr"/>
      <c r="P13" s="25" t="inlineStr"/>
      <c r="Q13" s="25" t="inlineStr">
        <is>
          <t>BN Command</t>
        </is>
      </c>
      <c r="R13" s="26" t="inlineStr">
        <is>
          <t>[DEMO]</t>
        </is>
      </c>
    </row>
    <row r="14">
      <c r="A14" s="27" t="n">
        <v>12</v>
      </c>
      <c r="B14" s="27" t="inlineStr">
        <is>
          <t>163d Cavalry, HHT</t>
        </is>
      </c>
      <c r="C14" s="27" t="inlineStr">
        <is>
          <t>W4MM92</t>
        </is>
      </c>
      <c r="D14" s="27" t="inlineStr">
        <is>
          <t>Billings</t>
        </is>
      </c>
      <c r="E14" s="27" t="inlineStr">
        <is>
          <t>Supply SGT</t>
        </is>
      </c>
      <c r="F14" s="27" t="inlineStr">
        <is>
          <t>E6</t>
        </is>
      </c>
      <c r="G14" s="27" t="inlineStr">
        <is>
          <t>Enlisted</t>
        </is>
      </c>
      <c r="H14" s="27" t="inlineStr">
        <is>
          <t>92Y</t>
        </is>
      </c>
      <c r="I14" s="27" t="inlineStr">
        <is>
          <t>LG</t>
        </is>
      </c>
      <c r="J14" s="27" t="inlineStr">
        <is>
          <t>Technical</t>
        </is>
      </c>
      <c r="K14" s="27" t="inlineStr">
        <is>
          <t>No</t>
        </is>
      </c>
      <c r="L14" s="27" t="inlineStr">
        <is>
          <t>M-Day</t>
        </is>
      </c>
      <c r="M14" s="27" t="inlineStr">
        <is>
          <t>Filled</t>
        </is>
      </c>
      <c r="N14" s="27" t="inlineStr"/>
      <c r="O14" s="27" t="inlineStr"/>
      <c r="P14" s="27" t="inlineStr"/>
      <c r="Q14" s="27" t="inlineStr">
        <is>
          <t>Unit supply</t>
        </is>
      </c>
      <c r="R14" s="26" t="inlineStr">
        <is>
          <t>[DEMO]</t>
        </is>
      </c>
    </row>
    <row r="15">
      <c r="A15" s="25" t="n">
        <v>13</v>
      </c>
      <c r="B15" s="25" t="inlineStr">
        <is>
          <t>163d Cavalry, HHT</t>
        </is>
      </c>
      <c r="C15" s="25" t="inlineStr">
        <is>
          <t>W4MM92</t>
        </is>
      </c>
      <c r="D15" s="25" t="inlineStr">
        <is>
          <t>Billings</t>
        </is>
      </c>
      <c r="E15" s="25" t="inlineStr">
        <is>
          <t>Property Book NCO</t>
        </is>
      </c>
      <c r="F15" s="25" t="inlineStr">
        <is>
          <t>E7</t>
        </is>
      </c>
      <c r="G15" s="25" t="inlineStr">
        <is>
          <t>Enlisted</t>
        </is>
      </c>
      <c r="H15" s="25" t="inlineStr">
        <is>
          <t>92Y</t>
        </is>
      </c>
      <c r="I15" s="25" t="inlineStr">
        <is>
          <t>LG</t>
        </is>
      </c>
      <c r="J15" s="25" t="inlineStr">
        <is>
          <t>Staff</t>
        </is>
      </c>
      <c r="K15" s="25" t="inlineStr">
        <is>
          <t>No</t>
        </is>
      </c>
      <c r="L15" s="25" t="inlineStr">
        <is>
          <t>AGR</t>
        </is>
      </c>
      <c r="M15" s="25" t="inlineStr">
        <is>
          <t>Vacant</t>
        </is>
      </c>
      <c r="N15" s="25" t="inlineStr">
        <is>
          <t>2026-10-01</t>
        </is>
      </c>
      <c r="O15" s="25" t="inlineStr"/>
      <c r="P15" s="25" t="inlineStr"/>
      <c r="Q15" s="25" t="inlineStr">
        <is>
          <t>AGR PB NCO</t>
        </is>
      </c>
      <c r="R15" s="26" t="inlineStr">
        <is>
          <t>[DEMO]</t>
        </is>
      </c>
    </row>
    <row r="16">
      <c r="A16" s="27" t="n">
        <v>14</v>
      </c>
      <c r="B16" s="27" t="inlineStr">
        <is>
          <t>163d Cavalry, HHT</t>
        </is>
      </c>
      <c r="C16" s="27" t="inlineStr">
        <is>
          <t>W4MM92</t>
        </is>
      </c>
      <c r="D16" s="27" t="inlineStr">
        <is>
          <t>Billings</t>
        </is>
      </c>
      <c r="E16" s="27" t="inlineStr">
        <is>
          <t>Warrant Officer — Property</t>
        </is>
      </c>
      <c r="F16" s="27" t="inlineStr">
        <is>
          <t>W2</t>
        </is>
      </c>
      <c r="G16" s="27" t="inlineStr">
        <is>
          <t>Warrant</t>
        </is>
      </c>
      <c r="H16" s="27" t="inlineStr">
        <is>
          <t>920A</t>
        </is>
      </c>
      <c r="I16" s="27" t="inlineStr">
        <is>
          <t>LG</t>
        </is>
      </c>
      <c r="J16" s="27" t="inlineStr">
        <is>
          <t>Technical</t>
        </is>
      </c>
      <c r="K16" s="27" t="inlineStr">
        <is>
          <t>No</t>
        </is>
      </c>
      <c r="L16" s="27" t="inlineStr">
        <is>
          <t>M-Day</t>
        </is>
      </c>
      <c r="M16" s="27" t="inlineStr">
        <is>
          <t>Filled</t>
        </is>
      </c>
      <c r="N16" s="27" t="inlineStr"/>
      <c r="O16" s="27" t="inlineStr"/>
      <c r="P16" s="27" t="inlineStr"/>
      <c r="Q16" s="27" t="inlineStr">
        <is>
          <t>Property Accounting Tech</t>
        </is>
      </c>
      <c r="R16" s="26" t="inlineStr">
        <is>
          <t>[DEMO]</t>
        </is>
      </c>
    </row>
    <row r="17">
      <c r="A17" s="25" t="n">
        <v>15</v>
      </c>
      <c r="B17" s="25" t="inlineStr">
        <is>
          <t>163d Cavalry, HHT</t>
        </is>
      </c>
      <c r="C17" s="25" t="inlineStr">
        <is>
          <t>W4MM92</t>
        </is>
      </c>
      <c r="D17" s="25" t="inlineStr">
        <is>
          <t>Billings</t>
        </is>
      </c>
      <c r="E17" s="25" t="inlineStr">
        <is>
          <t>Troop CDR, HHT</t>
        </is>
      </c>
      <c r="F17" s="25" t="inlineStr">
        <is>
          <t>O3</t>
        </is>
      </c>
      <c r="G17" s="25" t="inlineStr">
        <is>
          <t>Officer</t>
        </is>
      </c>
      <c r="H17" s="25" t="inlineStr">
        <is>
          <t>19A</t>
        </is>
      </c>
      <c r="I17" s="25" t="inlineStr">
        <is>
          <t>AR</t>
        </is>
      </c>
      <c r="J17" s="25" t="inlineStr">
        <is>
          <t>Command</t>
        </is>
      </c>
      <c r="K17" s="25" t="inlineStr">
        <is>
          <t>Yes</t>
        </is>
      </c>
      <c r="L17" s="25" t="inlineStr">
        <is>
          <t>M-Day</t>
        </is>
      </c>
      <c r="M17" s="25" t="inlineStr">
        <is>
          <t>Filled</t>
        </is>
      </c>
      <c r="N17" s="25" t="inlineStr"/>
      <c r="O17" s="25" t="inlineStr"/>
      <c r="P17" s="25" t="inlineStr"/>
      <c r="Q17" s="25" t="inlineStr"/>
      <c r="R17" s="26" t="inlineStr">
        <is>
          <t>[DEMO]</t>
        </is>
      </c>
    </row>
    <row r="18">
      <c r="A18" s="27" t="n">
        <v>16</v>
      </c>
      <c r="B18" s="27" t="inlineStr">
        <is>
          <t>MTARNG G1 / USPFO</t>
        </is>
      </c>
      <c r="C18" s="27" t="inlineStr">
        <is>
          <t>W4M001</t>
        </is>
      </c>
      <c r="D18" s="27" t="inlineStr">
        <is>
          <t>Helena</t>
        </is>
      </c>
      <c r="E18" s="27" t="inlineStr">
        <is>
          <t>Personnel SGT</t>
        </is>
      </c>
      <c r="F18" s="27" t="inlineStr">
        <is>
          <t>E5</t>
        </is>
      </c>
      <c r="G18" s="27" t="inlineStr">
        <is>
          <t>Enlisted</t>
        </is>
      </c>
      <c r="H18" s="27" t="inlineStr">
        <is>
          <t>42A</t>
        </is>
      </c>
      <c r="I18" s="27" t="inlineStr">
        <is>
          <t>AG</t>
        </is>
      </c>
      <c r="J18" s="27" t="inlineStr">
        <is>
          <t>Staff</t>
        </is>
      </c>
      <c r="K18" s="27" t="inlineStr">
        <is>
          <t>No</t>
        </is>
      </c>
      <c r="L18" s="27" t="inlineStr">
        <is>
          <t>AGR</t>
        </is>
      </c>
      <c r="M18" s="27" t="inlineStr">
        <is>
          <t>Filled</t>
        </is>
      </c>
      <c r="N18" s="27" t="inlineStr"/>
      <c r="O18" s="27" t="inlineStr"/>
      <c r="P18" s="27" t="inlineStr"/>
      <c r="Q18" s="27" t="inlineStr">
        <is>
          <t>State HQ HR</t>
        </is>
      </c>
      <c r="R18" s="26" t="inlineStr">
        <is>
          <t>[DEMO]</t>
        </is>
      </c>
    </row>
    <row r="19">
      <c r="A19" s="25" t="n">
        <v>17</v>
      </c>
      <c r="B19" s="25" t="inlineStr">
        <is>
          <t>MTARNG G1 / USPFO</t>
        </is>
      </c>
      <c r="C19" s="25" t="inlineStr">
        <is>
          <t>W4M001</t>
        </is>
      </c>
      <c r="D19" s="25" t="inlineStr">
        <is>
          <t>Helena</t>
        </is>
      </c>
      <c r="E19" s="25" t="inlineStr">
        <is>
          <t>HR NCOIC</t>
        </is>
      </c>
      <c r="F19" s="25" t="inlineStr">
        <is>
          <t>E7</t>
        </is>
      </c>
      <c r="G19" s="25" t="inlineStr">
        <is>
          <t>Enlisted</t>
        </is>
      </c>
      <c r="H19" s="25" t="inlineStr">
        <is>
          <t>42A</t>
        </is>
      </c>
      <c r="I19" s="25" t="inlineStr">
        <is>
          <t>AG</t>
        </is>
      </c>
      <c r="J19" s="25" t="inlineStr">
        <is>
          <t>Staff</t>
        </is>
      </c>
      <c r="K19" s="25" t="inlineStr">
        <is>
          <t>No</t>
        </is>
      </c>
      <c r="L19" s="25" t="inlineStr">
        <is>
          <t>AGR</t>
        </is>
      </c>
      <c r="M19" s="25" t="inlineStr">
        <is>
          <t>Filled</t>
        </is>
      </c>
      <c r="N19" s="25" t="inlineStr"/>
      <c r="O19" s="25" t="inlineStr"/>
      <c r="P19" s="25" t="inlineStr"/>
      <c r="Q19" s="25" t="inlineStr"/>
      <c r="R19" s="26" t="inlineStr">
        <is>
          <t>[DEMO]</t>
        </is>
      </c>
    </row>
    <row r="20">
      <c r="A20" s="27" t="n">
        <v>18</v>
      </c>
      <c r="B20" s="27" t="inlineStr">
        <is>
          <t>MTARNG G3</t>
        </is>
      </c>
      <c r="C20" s="27" t="inlineStr">
        <is>
          <t>W4M001</t>
        </is>
      </c>
      <c r="D20" s="27" t="inlineStr">
        <is>
          <t>Helena</t>
        </is>
      </c>
      <c r="E20" s="27" t="inlineStr">
        <is>
          <t>Training NCO</t>
        </is>
      </c>
      <c r="F20" s="27" t="inlineStr">
        <is>
          <t>E7</t>
        </is>
      </c>
      <c r="G20" s="27" t="inlineStr">
        <is>
          <t>Enlisted</t>
        </is>
      </c>
      <c r="H20" s="27" t="inlineStr">
        <is>
          <t>11B</t>
        </is>
      </c>
      <c r="I20" s="27" t="inlineStr">
        <is>
          <t>IN</t>
        </is>
      </c>
      <c r="J20" s="27" t="inlineStr">
        <is>
          <t>Staff</t>
        </is>
      </c>
      <c r="K20" s="27" t="inlineStr">
        <is>
          <t>No</t>
        </is>
      </c>
      <c r="L20" s="27" t="inlineStr">
        <is>
          <t>AGR</t>
        </is>
      </c>
      <c r="M20" s="27" t="inlineStr">
        <is>
          <t>Vacant</t>
        </is>
      </c>
      <c r="N20" s="27" t="inlineStr">
        <is>
          <t>2027-03-01</t>
        </is>
      </c>
      <c r="O20" s="27" t="inlineStr"/>
      <c r="P20" s="27" t="inlineStr"/>
      <c r="Q20" s="27" t="inlineStr">
        <is>
          <t>State G3 shop</t>
        </is>
      </c>
      <c r="R20" s="26" t="inlineStr">
        <is>
          <t>[DEMO]</t>
        </is>
      </c>
    </row>
    <row r="21">
      <c r="A21" s="25" t="n">
        <v>19</v>
      </c>
      <c r="B21" s="25" t="inlineStr">
        <is>
          <t>MTARNG G4</t>
        </is>
      </c>
      <c r="C21" s="25" t="inlineStr">
        <is>
          <t>W4M001</t>
        </is>
      </c>
      <c r="D21" s="25" t="inlineStr">
        <is>
          <t>Helena</t>
        </is>
      </c>
      <c r="E21" s="25" t="inlineStr">
        <is>
          <t>Logistics SGT</t>
        </is>
      </c>
      <c r="F21" s="25" t="inlineStr">
        <is>
          <t>E6</t>
        </is>
      </c>
      <c r="G21" s="25" t="inlineStr">
        <is>
          <t>Enlisted</t>
        </is>
      </c>
      <c r="H21" s="25" t="inlineStr">
        <is>
          <t>92A</t>
        </is>
      </c>
      <c r="I21" s="25" t="inlineStr">
        <is>
          <t>LG</t>
        </is>
      </c>
      <c r="J21" s="25" t="inlineStr">
        <is>
          <t>Staff</t>
        </is>
      </c>
      <c r="K21" s="25" t="inlineStr">
        <is>
          <t>No</t>
        </is>
      </c>
      <c r="L21" s="25" t="inlineStr">
        <is>
          <t>AGR</t>
        </is>
      </c>
      <c r="M21" s="25" t="inlineStr">
        <is>
          <t>Filled</t>
        </is>
      </c>
      <c r="N21" s="25" t="inlineStr"/>
      <c r="O21" s="25" t="inlineStr"/>
      <c r="P21" s="25" t="inlineStr"/>
      <c r="Q21" s="25" t="inlineStr">
        <is>
          <t>State log shop</t>
        </is>
      </c>
      <c r="R21" s="26" t="inlineStr">
        <is>
          <t>[DEMO]</t>
        </is>
      </c>
    </row>
    <row r="22">
      <c r="A22" s="27" t="n">
        <v>20</v>
      </c>
      <c r="B22" s="27" t="inlineStr">
        <is>
          <t>MTARNG G4</t>
        </is>
      </c>
      <c r="C22" s="27" t="inlineStr">
        <is>
          <t>W4M001</t>
        </is>
      </c>
      <c r="D22" s="27" t="inlineStr">
        <is>
          <t>Helena</t>
        </is>
      </c>
      <c r="E22" s="27" t="inlineStr">
        <is>
          <t>G4 NCOIC</t>
        </is>
      </c>
      <c r="F22" s="27" t="inlineStr">
        <is>
          <t>E8</t>
        </is>
      </c>
      <c r="G22" s="27" t="inlineStr">
        <is>
          <t>Enlisted</t>
        </is>
      </c>
      <c r="H22" s="27" t="inlineStr">
        <is>
          <t>92A</t>
        </is>
      </c>
      <c r="I22" s="27" t="inlineStr">
        <is>
          <t>LG</t>
        </is>
      </c>
      <c r="J22" s="27" t="inlineStr">
        <is>
          <t>Staff</t>
        </is>
      </c>
      <c r="K22" s="27" t="inlineStr">
        <is>
          <t>No</t>
        </is>
      </c>
      <c r="L22" s="27" t="inlineStr">
        <is>
          <t>AGR</t>
        </is>
      </c>
      <c r="M22" s="27" t="inlineStr">
        <is>
          <t>Filled</t>
        </is>
      </c>
      <c r="N22" s="27" t="inlineStr">
        <is>
          <t>2027-06-01</t>
        </is>
      </c>
      <c r="O22" s="27" t="inlineStr"/>
      <c r="P22" s="27" t="inlineStr"/>
      <c r="Q22" s="27" t="inlineStr"/>
      <c r="R22" s="26" t="inlineStr">
        <is>
          <t>[DEMO]</t>
        </is>
      </c>
    </row>
    <row r="23">
      <c r="A23" s="25" t="n">
        <v>21</v>
      </c>
      <c r="B23" s="25" t="inlineStr">
        <is>
          <t>MTARNG HQ</t>
        </is>
      </c>
      <c r="C23" s="25" t="inlineStr">
        <is>
          <t>W4M001</t>
        </is>
      </c>
      <c r="D23" s="25" t="inlineStr">
        <is>
          <t>Helena</t>
        </is>
      </c>
      <c r="E23" s="25" t="inlineStr">
        <is>
          <t>State Command Sergeant Major</t>
        </is>
      </c>
      <c r="F23" s="25" t="inlineStr">
        <is>
          <t>E9</t>
        </is>
      </c>
      <c r="G23" s="25" t="inlineStr">
        <is>
          <t>Enlisted</t>
        </is>
      </c>
      <c r="H23" s="25" t="inlineStr">
        <is>
          <t>00Z</t>
        </is>
      </c>
      <c r="I23" s="25" t="inlineStr">
        <is>
          <t>IN</t>
        </is>
      </c>
      <c r="J23" s="25" t="inlineStr">
        <is>
          <t>Command</t>
        </is>
      </c>
      <c r="K23" s="25" t="inlineStr">
        <is>
          <t>Yes</t>
        </is>
      </c>
      <c r="L23" s="25" t="inlineStr">
        <is>
          <t>AGR</t>
        </is>
      </c>
      <c r="M23" s="25" t="inlineStr">
        <is>
          <t>Filled</t>
        </is>
      </c>
      <c r="N23" s="25" t="inlineStr"/>
      <c r="O23" s="25" t="inlineStr"/>
      <c r="P23" s="25" t="inlineStr"/>
      <c r="Q23" s="25" t="inlineStr">
        <is>
          <t>State CSM</t>
        </is>
      </c>
      <c r="R23" s="26" t="inlineStr">
        <is>
          <t>[DEMO]</t>
        </is>
      </c>
    </row>
    <row r="24">
      <c r="A24" s="27" t="n">
        <v>22</v>
      </c>
      <c r="B24" s="27" t="inlineStr">
        <is>
          <t>MTARNG HQ</t>
        </is>
      </c>
      <c r="C24" s="27" t="inlineStr">
        <is>
          <t>W4M001</t>
        </is>
      </c>
      <c r="D24" s="27" t="inlineStr">
        <is>
          <t>Helena</t>
        </is>
      </c>
      <c r="E24" s="27" t="inlineStr">
        <is>
          <t>G1, MTARNG</t>
        </is>
      </c>
      <c r="F24" s="27" t="inlineStr">
        <is>
          <t>O5</t>
        </is>
      </c>
      <c r="G24" s="27" t="inlineStr">
        <is>
          <t>Officer</t>
        </is>
      </c>
      <c r="H24" s="27" t="inlineStr">
        <is>
          <t>42H</t>
        </is>
      </c>
      <c r="I24" s="27" t="inlineStr">
        <is>
          <t>AG</t>
        </is>
      </c>
      <c r="J24" s="27" t="inlineStr">
        <is>
          <t>Staff</t>
        </is>
      </c>
      <c r="K24" s="27" t="inlineStr">
        <is>
          <t>Yes</t>
        </is>
      </c>
      <c r="L24" s="27" t="inlineStr">
        <is>
          <t>AGR</t>
        </is>
      </c>
      <c r="M24" s="27" t="inlineStr">
        <is>
          <t>Filled</t>
        </is>
      </c>
      <c r="N24" s="27" t="inlineStr"/>
      <c r="O24" s="27" t="inlineStr"/>
      <c r="P24" s="27" t="inlineStr"/>
      <c r="Q24" s="27" t="inlineStr"/>
      <c r="R24" s="26" t="inlineStr">
        <is>
          <t>[DEMO]</t>
        </is>
      </c>
    </row>
    <row r="25">
      <c r="A25" s="25" t="n">
        <v>23</v>
      </c>
      <c r="B25" s="25" t="inlineStr">
        <is>
          <t>MTARNG HQ</t>
        </is>
      </c>
      <c r="C25" s="25" t="inlineStr">
        <is>
          <t>W4M001</t>
        </is>
      </c>
      <c r="D25" s="25" t="inlineStr">
        <is>
          <t>Helena</t>
        </is>
      </c>
      <c r="E25" s="25" t="inlineStr">
        <is>
          <t>G3, MTARNG</t>
        </is>
      </c>
      <c r="F25" s="25" t="inlineStr">
        <is>
          <t>O5</t>
        </is>
      </c>
      <c r="G25" s="25" t="inlineStr">
        <is>
          <t>Officer</t>
        </is>
      </c>
      <c r="H25" s="25" t="inlineStr">
        <is>
          <t>11A</t>
        </is>
      </c>
      <c r="I25" s="25" t="inlineStr">
        <is>
          <t>IN</t>
        </is>
      </c>
      <c r="J25" s="25" t="inlineStr">
        <is>
          <t>Staff</t>
        </is>
      </c>
      <c r="K25" s="25" t="inlineStr">
        <is>
          <t>Yes</t>
        </is>
      </c>
      <c r="L25" s="25" t="inlineStr">
        <is>
          <t>AGR</t>
        </is>
      </c>
      <c r="M25" s="25" t="inlineStr">
        <is>
          <t>Filled</t>
        </is>
      </c>
      <c r="N25" s="25" t="inlineStr">
        <is>
          <t>2027-09-01</t>
        </is>
      </c>
      <c r="O25" s="25" t="inlineStr"/>
      <c r="P25" s="25" t="inlineStr"/>
      <c r="Q25" s="25" t="inlineStr"/>
      <c r="R25" s="26" t="inlineStr">
        <is>
          <t>[DEMO]</t>
        </is>
      </c>
    </row>
    <row r="26">
      <c r="A26" s="27" t="n">
        <v>24</v>
      </c>
      <c r="B26" s="27" t="inlineStr">
        <is>
          <t>MTARNG HQ</t>
        </is>
      </c>
      <c r="C26" s="27" t="inlineStr">
        <is>
          <t>W4M001</t>
        </is>
      </c>
      <c r="D26" s="27" t="inlineStr">
        <is>
          <t>Helena</t>
        </is>
      </c>
      <c r="E26" s="27" t="inlineStr">
        <is>
          <t>The Adjutant General</t>
        </is>
      </c>
      <c r="F26" s="27" t="inlineStr">
        <is>
          <t>O8</t>
        </is>
      </c>
      <c r="G26" s="27" t="inlineStr">
        <is>
          <t>Officer</t>
        </is>
      </c>
      <c r="H26" s="27" t="inlineStr">
        <is>
          <t>00A</t>
        </is>
      </c>
      <c r="I26" s="27" t="inlineStr">
        <is>
          <t>IN</t>
        </is>
      </c>
      <c r="J26" s="27" t="inlineStr">
        <is>
          <t>Command</t>
        </is>
      </c>
      <c r="K26" s="27" t="inlineStr">
        <is>
          <t>Yes</t>
        </is>
      </c>
      <c r="L26" s="27" t="inlineStr">
        <is>
          <t>AGR</t>
        </is>
      </c>
      <c r="M26" s="27" t="inlineStr">
        <is>
          <t>Filled</t>
        </is>
      </c>
      <c r="N26" s="27" t="inlineStr"/>
      <c r="O26" s="27" t="inlineStr"/>
      <c r="P26" s="27" t="inlineStr"/>
      <c r="Q26" s="27" t="inlineStr">
        <is>
          <t>TAG</t>
        </is>
      </c>
      <c r="R26" s="26" t="inlineStr">
        <is>
          <t>[DEMO]</t>
        </is>
      </c>
    </row>
    <row r="27">
      <c r="A27" s="25" t="n">
        <v>25</v>
      </c>
      <c r="B27" s="25" t="inlineStr">
        <is>
          <t>240th Engineer Co</t>
        </is>
      </c>
      <c r="C27" s="25" t="inlineStr">
        <is>
          <t>W4MMEC</t>
        </is>
      </c>
      <c r="D27" s="25" t="inlineStr">
        <is>
          <t>Helena</t>
        </is>
      </c>
      <c r="E27" s="25" t="inlineStr">
        <is>
          <t>Combat Engineer</t>
        </is>
      </c>
      <c r="F27" s="25" t="inlineStr">
        <is>
          <t>E4</t>
        </is>
      </c>
      <c r="G27" s="25" t="inlineStr">
        <is>
          <t>Enlisted</t>
        </is>
      </c>
      <c r="H27" s="25" t="inlineStr">
        <is>
          <t>12B</t>
        </is>
      </c>
      <c r="I27" s="25" t="inlineStr">
        <is>
          <t>EN</t>
        </is>
      </c>
      <c r="J27" s="25" t="inlineStr">
        <is>
          <t>Technical</t>
        </is>
      </c>
      <c r="K27" s="25" t="inlineStr">
        <is>
          <t>No</t>
        </is>
      </c>
      <c r="L27" s="25" t="inlineStr">
        <is>
          <t>M-Day</t>
        </is>
      </c>
      <c r="M27" s="25" t="inlineStr">
        <is>
          <t>Vacant</t>
        </is>
      </c>
      <c r="N27" s="25" t="inlineStr"/>
      <c r="O27" s="25" t="inlineStr"/>
      <c r="P27" s="25" t="inlineStr"/>
      <c r="Q27" s="25" t="inlineStr"/>
      <c r="R27" s="26" t="inlineStr">
        <is>
          <t>[DEMO]</t>
        </is>
      </c>
    </row>
    <row r="28">
      <c r="A28" s="27" t="n">
        <v>26</v>
      </c>
      <c r="B28" s="27" t="inlineStr">
        <is>
          <t>240th Engineer Co</t>
        </is>
      </c>
      <c r="C28" s="27" t="inlineStr">
        <is>
          <t>W4MMEC</t>
        </is>
      </c>
      <c r="D28" s="27" t="inlineStr">
        <is>
          <t>Helena</t>
        </is>
      </c>
      <c r="E28" s="27" t="inlineStr">
        <is>
          <t>Equipment Operator</t>
        </is>
      </c>
      <c r="F28" s="27" t="inlineStr">
        <is>
          <t>E5</t>
        </is>
      </c>
      <c r="G28" s="27" t="inlineStr">
        <is>
          <t>Enlisted</t>
        </is>
      </c>
      <c r="H28" s="27" t="inlineStr">
        <is>
          <t>12B</t>
        </is>
      </c>
      <c r="I28" s="27" t="inlineStr">
        <is>
          <t>EN</t>
        </is>
      </c>
      <c r="J28" s="27" t="inlineStr">
        <is>
          <t>Technical</t>
        </is>
      </c>
      <c r="K28" s="27" t="inlineStr">
        <is>
          <t>No</t>
        </is>
      </c>
      <c r="L28" s="27" t="inlineStr">
        <is>
          <t>M-Day</t>
        </is>
      </c>
      <c r="M28" s="27" t="inlineStr">
        <is>
          <t>Filled</t>
        </is>
      </c>
      <c r="N28" s="27" t="inlineStr"/>
      <c r="O28" s="27" t="inlineStr"/>
      <c r="P28" s="27" t="inlineStr"/>
      <c r="Q28" s="27" t="inlineStr"/>
      <c r="R28" s="26" t="inlineStr">
        <is>
          <t>[DEMO]</t>
        </is>
      </c>
    </row>
    <row r="29">
      <c r="A29" s="25" t="n">
        <v>27</v>
      </c>
      <c r="B29" s="25" t="inlineStr">
        <is>
          <t>240th Engineer Co</t>
        </is>
      </c>
      <c r="C29" s="25" t="inlineStr">
        <is>
          <t>W4MMEC</t>
        </is>
      </c>
      <c r="D29" s="25" t="inlineStr">
        <is>
          <t>Helena</t>
        </is>
      </c>
      <c r="E29" s="25" t="inlineStr">
        <is>
          <t>Squad Leader</t>
        </is>
      </c>
      <c r="F29" s="25" t="inlineStr">
        <is>
          <t>E6</t>
        </is>
      </c>
      <c r="G29" s="25" t="inlineStr">
        <is>
          <t>Enlisted</t>
        </is>
      </c>
      <c r="H29" s="25" t="inlineStr">
        <is>
          <t>12B</t>
        </is>
      </c>
      <c r="I29" s="25" t="inlineStr">
        <is>
          <t>EN</t>
        </is>
      </c>
      <c r="J29" s="25" t="inlineStr">
        <is>
          <t>Leadership</t>
        </is>
      </c>
      <c r="K29" s="25" t="inlineStr">
        <is>
          <t>Yes</t>
        </is>
      </c>
      <c r="L29" s="25" t="inlineStr">
        <is>
          <t>M-Day</t>
        </is>
      </c>
      <c r="M29" s="25" t="inlineStr">
        <is>
          <t>Vacant</t>
        </is>
      </c>
      <c r="N29" s="25" t="inlineStr">
        <is>
          <t>2026-10-01</t>
        </is>
      </c>
      <c r="O29" s="25" t="inlineStr"/>
      <c r="P29" s="25" t="inlineStr"/>
      <c r="Q29" s="25" t="inlineStr"/>
      <c r="R29" s="26" t="inlineStr">
        <is>
          <t>[DEMO]</t>
        </is>
      </c>
    </row>
    <row r="30">
      <c r="A30" s="27" t="n">
        <v>28</v>
      </c>
      <c r="B30" s="27" t="inlineStr">
        <is>
          <t>240th Engineer Co</t>
        </is>
      </c>
      <c r="C30" s="27" t="inlineStr">
        <is>
          <t>W4MMEC</t>
        </is>
      </c>
      <c r="D30" s="27" t="inlineStr">
        <is>
          <t>Helena</t>
        </is>
      </c>
      <c r="E30" s="27" t="inlineStr">
        <is>
          <t>Platoon Sergeant</t>
        </is>
      </c>
      <c r="F30" s="27" t="inlineStr">
        <is>
          <t>E7</t>
        </is>
      </c>
      <c r="G30" s="27" t="inlineStr">
        <is>
          <t>Enlisted</t>
        </is>
      </c>
      <c r="H30" s="27" t="inlineStr">
        <is>
          <t>12B</t>
        </is>
      </c>
      <c r="I30" s="27" t="inlineStr">
        <is>
          <t>EN</t>
        </is>
      </c>
      <c r="J30" s="27" t="inlineStr">
        <is>
          <t>Leadership</t>
        </is>
      </c>
      <c r="K30" s="27" t="inlineStr">
        <is>
          <t>Yes</t>
        </is>
      </c>
      <c r="L30" s="27" t="inlineStr">
        <is>
          <t>M-Day</t>
        </is>
      </c>
      <c r="M30" s="27" t="inlineStr">
        <is>
          <t>Filled</t>
        </is>
      </c>
      <c r="N30" s="27" t="inlineStr"/>
      <c r="O30" s="27" t="inlineStr"/>
      <c r="P30" s="27" t="inlineStr"/>
      <c r="Q30" s="27" t="inlineStr"/>
      <c r="R30" s="26" t="inlineStr">
        <is>
          <t>[DEMO]</t>
        </is>
      </c>
    </row>
    <row r="31">
      <c r="A31" s="25" t="n">
        <v>29</v>
      </c>
      <c r="B31" s="25" t="inlineStr">
        <is>
          <t>240th Engineer Co</t>
        </is>
      </c>
      <c r="C31" s="25" t="inlineStr">
        <is>
          <t>W4MMEC</t>
        </is>
      </c>
      <c r="D31" s="25" t="inlineStr">
        <is>
          <t>Helena</t>
        </is>
      </c>
      <c r="E31" s="25" t="inlineStr">
        <is>
          <t>1SG, 240th Eng Co</t>
        </is>
      </c>
      <c r="F31" s="25" t="inlineStr">
        <is>
          <t>E8</t>
        </is>
      </c>
      <c r="G31" s="25" t="inlineStr">
        <is>
          <t>Enlisted</t>
        </is>
      </c>
      <c r="H31" s="25" t="inlineStr">
        <is>
          <t>12B</t>
        </is>
      </c>
      <c r="I31" s="25" t="inlineStr">
        <is>
          <t>EN</t>
        </is>
      </c>
      <c r="J31" s="25" t="inlineStr">
        <is>
          <t>Command</t>
        </is>
      </c>
      <c r="K31" s="25" t="inlineStr">
        <is>
          <t>Yes</t>
        </is>
      </c>
      <c r="L31" s="25" t="inlineStr">
        <is>
          <t>M-Day</t>
        </is>
      </c>
      <c r="M31" s="25" t="inlineStr">
        <is>
          <t>Filled</t>
        </is>
      </c>
      <c r="N31" s="25" t="inlineStr">
        <is>
          <t>2028-01-01</t>
        </is>
      </c>
      <c r="O31" s="25" t="inlineStr"/>
      <c r="P31" s="25" t="inlineStr"/>
      <c r="Q31" s="25" t="inlineStr"/>
      <c r="R31" s="26" t="inlineStr">
        <is>
          <t>[DEMO]</t>
        </is>
      </c>
    </row>
    <row r="32">
      <c r="A32" s="27" t="n">
        <v>30</v>
      </c>
      <c r="B32" s="27" t="inlineStr">
        <is>
          <t>240th Engineer Co</t>
        </is>
      </c>
      <c r="C32" s="27" t="inlineStr">
        <is>
          <t>W4MMEC</t>
        </is>
      </c>
      <c r="D32" s="27" t="inlineStr">
        <is>
          <t>Helena</t>
        </is>
      </c>
      <c r="E32" s="27" t="inlineStr">
        <is>
          <t>CDR, 240th Engineer Co</t>
        </is>
      </c>
      <c r="F32" s="27" t="inlineStr">
        <is>
          <t>O3</t>
        </is>
      </c>
      <c r="G32" s="27" t="inlineStr">
        <is>
          <t>Officer</t>
        </is>
      </c>
      <c r="H32" s="27" t="inlineStr">
        <is>
          <t>12A</t>
        </is>
      </c>
      <c r="I32" s="27" t="inlineStr">
        <is>
          <t>EN</t>
        </is>
      </c>
      <c r="J32" s="27" t="inlineStr">
        <is>
          <t>Command</t>
        </is>
      </c>
      <c r="K32" s="27" t="inlineStr">
        <is>
          <t>Yes</t>
        </is>
      </c>
      <c r="L32" s="27" t="inlineStr">
        <is>
          <t>M-Day</t>
        </is>
      </c>
      <c r="M32" s="27" t="inlineStr">
        <is>
          <t>Vacant</t>
        </is>
      </c>
      <c r="N32" s="27" t="inlineStr">
        <is>
          <t>2026-07-01</t>
        </is>
      </c>
      <c r="O32" s="27" t="inlineStr"/>
      <c r="P32" s="27" t="inlineStr"/>
      <c r="Q32" s="27" t="inlineStr">
        <is>
          <t>Company command</t>
        </is>
      </c>
      <c r="R32" s="26" t="inlineStr">
        <is>
          <t>[DEMO]</t>
        </is>
      </c>
    </row>
    <row r="33">
      <c r="A33" s="25" t="n">
        <v>31</v>
      </c>
      <c r="B33" s="25" t="inlineStr">
        <is>
          <t>1-163d IN BN, B Co</t>
        </is>
      </c>
      <c r="C33" s="25" t="inlineStr">
        <is>
          <t>W4MMBF</t>
        </is>
      </c>
      <c r="D33" s="25" t="inlineStr">
        <is>
          <t>Great Falls</t>
        </is>
      </c>
      <c r="E33" s="25" t="inlineStr">
        <is>
          <t>Rifle Team Leader</t>
        </is>
      </c>
      <c r="F33" s="25" t="inlineStr">
        <is>
          <t>E5</t>
        </is>
      </c>
      <c r="G33" s="25" t="inlineStr">
        <is>
          <t>Enlisted</t>
        </is>
      </c>
      <c r="H33" s="25" t="inlineStr">
        <is>
          <t>11B</t>
        </is>
      </c>
      <c r="I33" s="25" t="inlineStr">
        <is>
          <t>IN</t>
        </is>
      </c>
      <c r="J33" s="25" t="inlineStr">
        <is>
          <t>Leadership</t>
        </is>
      </c>
      <c r="K33" s="25" t="inlineStr">
        <is>
          <t>No</t>
        </is>
      </c>
      <c r="L33" s="25" t="inlineStr">
        <is>
          <t>M-Day</t>
        </is>
      </c>
      <c r="M33" s="25" t="inlineStr">
        <is>
          <t>Filled</t>
        </is>
      </c>
      <c r="N33" s="25" t="inlineStr"/>
      <c r="O33" s="25" t="inlineStr"/>
      <c r="P33" s="25" t="inlineStr"/>
      <c r="Q33" s="25" t="inlineStr"/>
      <c r="R33" s="26" t="inlineStr">
        <is>
          <t>[DEMO]</t>
        </is>
      </c>
    </row>
    <row r="34">
      <c r="A34" s="27" t="n">
        <v>32</v>
      </c>
      <c r="B34" s="27" t="inlineStr">
        <is>
          <t>1-163d IN BN, B Co</t>
        </is>
      </c>
      <c r="C34" s="27" t="inlineStr">
        <is>
          <t>W4MMBF</t>
        </is>
      </c>
      <c r="D34" s="27" t="inlineStr">
        <is>
          <t>Great Falls</t>
        </is>
      </c>
      <c r="E34" s="27" t="inlineStr">
        <is>
          <t>Squad Leader</t>
        </is>
      </c>
      <c r="F34" s="27" t="inlineStr">
        <is>
          <t>E6</t>
        </is>
      </c>
      <c r="G34" s="27" t="inlineStr">
        <is>
          <t>Enlisted</t>
        </is>
      </c>
      <c r="H34" s="27" t="inlineStr">
        <is>
          <t>11B</t>
        </is>
      </c>
      <c r="I34" s="27" t="inlineStr">
        <is>
          <t>IN</t>
        </is>
      </c>
      <c r="J34" s="27" t="inlineStr">
        <is>
          <t>Leadership</t>
        </is>
      </c>
      <c r="K34" s="27" t="inlineStr">
        <is>
          <t>Yes</t>
        </is>
      </c>
      <c r="L34" s="27" t="inlineStr">
        <is>
          <t>M-Day</t>
        </is>
      </c>
      <c r="M34" s="27" t="inlineStr">
        <is>
          <t>Filled</t>
        </is>
      </c>
      <c r="N34" s="27" t="inlineStr"/>
      <c r="O34" s="27" t="inlineStr"/>
      <c r="P34" s="27" t="inlineStr"/>
      <c r="Q34" s="27" t="inlineStr"/>
      <c r="R34" s="26" t="inlineStr">
        <is>
          <t>[DEMO]</t>
        </is>
      </c>
    </row>
    <row r="35">
      <c r="A35" s="25" t="n">
        <v>33</v>
      </c>
      <c r="B35" s="25" t="inlineStr">
        <is>
          <t>1-163d IN BN, B Co</t>
        </is>
      </c>
      <c r="C35" s="25" t="inlineStr">
        <is>
          <t>W4MMBF</t>
        </is>
      </c>
      <c r="D35" s="25" t="inlineStr">
        <is>
          <t>Great Falls</t>
        </is>
      </c>
      <c r="E35" s="25" t="inlineStr">
        <is>
          <t>Weapons Squad Leader</t>
        </is>
      </c>
      <c r="F35" s="25" t="inlineStr">
        <is>
          <t>E6</t>
        </is>
      </c>
      <c r="G35" s="25" t="inlineStr">
        <is>
          <t>Enlisted</t>
        </is>
      </c>
      <c r="H35" s="25" t="inlineStr">
        <is>
          <t>11B</t>
        </is>
      </c>
      <c r="I35" s="25" t="inlineStr">
        <is>
          <t>IN</t>
        </is>
      </c>
      <c r="J35" s="25" t="inlineStr">
        <is>
          <t>Leadership</t>
        </is>
      </c>
      <c r="K35" s="25" t="inlineStr">
        <is>
          <t>Yes</t>
        </is>
      </c>
      <c r="L35" s="25" t="inlineStr">
        <is>
          <t>M-Day</t>
        </is>
      </c>
      <c r="M35" s="25" t="inlineStr">
        <is>
          <t>Vacant</t>
        </is>
      </c>
      <c r="N35" s="25" t="inlineStr">
        <is>
          <t>2026-09-01</t>
        </is>
      </c>
      <c r="O35" s="25" t="inlineStr"/>
      <c r="P35" s="25" t="inlineStr"/>
      <c r="Q35" s="25" t="inlineStr">
        <is>
          <t>Weapons platoon</t>
        </is>
      </c>
      <c r="R35" s="26" t="inlineStr">
        <is>
          <t>[DEMO]</t>
        </is>
      </c>
    </row>
    <row r="36">
      <c r="A36" s="27" t="n">
        <v>34</v>
      </c>
      <c r="B36" s="27" t="inlineStr">
        <is>
          <t>1-163d IN BN, HHC</t>
        </is>
      </c>
      <c r="C36" s="27" t="inlineStr">
        <is>
          <t>W4MMBG</t>
        </is>
      </c>
      <c r="D36" s="27" t="inlineStr">
        <is>
          <t>Great Falls</t>
        </is>
      </c>
      <c r="E36" s="27" t="inlineStr">
        <is>
          <t>Comms SGT</t>
        </is>
      </c>
      <c r="F36" s="27" t="inlineStr">
        <is>
          <t>E6</t>
        </is>
      </c>
      <c r="G36" s="27" t="inlineStr">
        <is>
          <t>Enlisted</t>
        </is>
      </c>
      <c r="H36" s="27" t="inlineStr">
        <is>
          <t>25U</t>
        </is>
      </c>
      <c r="I36" s="27" t="inlineStr">
        <is>
          <t>SC</t>
        </is>
      </c>
      <c r="J36" s="27" t="inlineStr">
        <is>
          <t>Technical</t>
        </is>
      </c>
      <c r="K36" s="27" t="inlineStr">
        <is>
          <t>No</t>
        </is>
      </c>
      <c r="L36" s="27" t="inlineStr">
        <is>
          <t>M-Day</t>
        </is>
      </c>
      <c r="M36" s="27" t="inlineStr">
        <is>
          <t>Vacant</t>
        </is>
      </c>
      <c r="N36" s="27" t="inlineStr"/>
      <c r="O36" s="27" t="inlineStr"/>
      <c r="P36" s="27" t="inlineStr"/>
      <c r="Q36" s="27" t="inlineStr"/>
      <c r="R36" s="26" t="inlineStr">
        <is>
          <t>[DEMO]</t>
        </is>
      </c>
    </row>
    <row r="37">
      <c r="A37" s="25" t="n">
        <v>35</v>
      </c>
      <c r="B37" s="25" t="inlineStr">
        <is>
          <t>1-163d IN BN, HHC</t>
        </is>
      </c>
      <c r="C37" s="25" t="inlineStr">
        <is>
          <t>W4MMBG</t>
        </is>
      </c>
      <c r="D37" s="25" t="inlineStr">
        <is>
          <t>Great Falls</t>
        </is>
      </c>
      <c r="E37" s="25" t="inlineStr">
        <is>
          <t>S6 NCOIC</t>
        </is>
      </c>
      <c r="F37" s="25" t="inlineStr">
        <is>
          <t>E7</t>
        </is>
      </c>
      <c r="G37" s="25" t="inlineStr">
        <is>
          <t>Enlisted</t>
        </is>
      </c>
      <c r="H37" s="25" t="inlineStr">
        <is>
          <t>25U</t>
        </is>
      </c>
      <c r="I37" s="25" t="inlineStr">
        <is>
          <t>SC</t>
        </is>
      </c>
      <c r="J37" s="25" t="inlineStr">
        <is>
          <t>Staff</t>
        </is>
      </c>
      <c r="K37" s="25" t="inlineStr">
        <is>
          <t>No</t>
        </is>
      </c>
      <c r="L37" s="25" t="inlineStr">
        <is>
          <t>M-Day</t>
        </is>
      </c>
      <c r="M37" s="25" t="inlineStr">
        <is>
          <t>Filled</t>
        </is>
      </c>
      <c r="N37" s="25" t="inlineStr"/>
      <c r="O37" s="25" t="inlineStr"/>
      <c r="P37" s="25" t="inlineStr"/>
      <c r="Q37" s="25" t="inlineStr"/>
      <c r="R37" s="26" t="inlineStr">
        <is>
          <t>[DEMO]</t>
        </is>
      </c>
    </row>
    <row r="38">
      <c r="A38" s="27" t="n">
        <v>36</v>
      </c>
      <c r="B38" s="27" t="inlineStr">
        <is>
          <t>1-163d IN BN, HHC</t>
        </is>
      </c>
      <c r="C38" s="27" t="inlineStr">
        <is>
          <t>W4MMBG</t>
        </is>
      </c>
      <c r="D38" s="27" t="inlineStr">
        <is>
          <t>Great Falls</t>
        </is>
      </c>
      <c r="E38" s="27" t="inlineStr">
        <is>
          <t>Network Tech WO</t>
        </is>
      </c>
      <c r="F38" s="27" t="inlineStr">
        <is>
          <t>W2</t>
        </is>
      </c>
      <c r="G38" s="27" t="inlineStr">
        <is>
          <t>Warrant</t>
        </is>
      </c>
      <c r="H38" s="27" t="inlineStr">
        <is>
          <t>255A</t>
        </is>
      </c>
      <c r="I38" s="27" t="inlineStr">
        <is>
          <t>SC</t>
        </is>
      </c>
      <c r="J38" s="27" t="inlineStr">
        <is>
          <t>Technical</t>
        </is>
      </c>
      <c r="K38" s="27" t="inlineStr">
        <is>
          <t>No</t>
        </is>
      </c>
      <c r="L38" s="27" t="inlineStr">
        <is>
          <t>M-Day</t>
        </is>
      </c>
      <c r="M38" s="27" t="inlineStr">
        <is>
          <t>Filled</t>
        </is>
      </c>
      <c r="N38" s="27" t="inlineStr"/>
      <c r="O38" s="27" t="inlineStr"/>
      <c r="P38" s="27" t="inlineStr"/>
      <c r="Q38" s="27" t="inlineStr"/>
      <c r="R38" s="26" t="inlineStr">
        <is>
          <t>[DEMO]</t>
        </is>
      </c>
    </row>
    <row r="39">
      <c r="A39" s="25" t="n">
        <v>37</v>
      </c>
      <c r="B39" s="25" t="inlineStr">
        <is>
          <t>1-163d IN BN, HHC</t>
        </is>
      </c>
      <c r="C39" s="25" t="inlineStr">
        <is>
          <t>W4MMBG</t>
        </is>
      </c>
      <c r="D39" s="25" t="inlineStr">
        <is>
          <t>Great Falls</t>
        </is>
      </c>
      <c r="E39" s="25" t="inlineStr">
        <is>
          <t>Intel Officer</t>
        </is>
      </c>
      <c r="F39" s="25" t="inlineStr">
        <is>
          <t>O2</t>
        </is>
      </c>
      <c r="G39" s="25" t="inlineStr">
        <is>
          <t>Officer</t>
        </is>
      </c>
      <c r="H39" s="25" t="inlineStr">
        <is>
          <t>35D</t>
        </is>
      </c>
      <c r="I39" s="25" t="inlineStr">
        <is>
          <t>MI</t>
        </is>
      </c>
      <c r="J39" s="25" t="inlineStr">
        <is>
          <t>Staff</t>
        </is>
      </c>
      <c r="K39" s="25" t="inlineStr">
        <is>
          <t>No</t>
        </is>
      </c>
      <c r="L39" s="25" t="inlineStr">
        <is>
          <t>M-Day</t>
        </is>
      </c>
      <c r="M39" s="25" t="inlineStr">
        <is>
          <t>Vacant</t>
        </is>
      </c>
      <c r="N39" s="25" t="inlineStr"/>
      <c r="O39" s="25" t="inlineStr"/>
      <c r="P39" s="25" t="inlineStr"/>
      <c r="Q39" s="25" t="inlineStr">
        <is>
          <t>HUMINT/GEOINT</t>
        </is>
      </c>
      <c r="R39" s="26" t="inlineStr">
        <is>
          <t>[DEMO]</t>
        </is>
      </c>
    </row>
    <row r="40">
      <c r="A40" s="27" t="n">
        <v>38</v>
      </c>
      <c r="B40" s="27" t="inlineStr">
        <is>
          <t>1-163d IN BN, HHC</t>
        </is>
      </c>
      <c r="C40" s="27" t="inlineStr">
        <is>
          <t>W4MMBG</t>
        </is>
      </c>
      <c r="D40" s="27" t="inlineStr">
        <is>
          <t>Great Falls</t>
        </is>
      </c>
      <c r="E40" s="27" t="inlineStr">
        <is>
          <t>S2, 1-163d IN BN</t>
        </is>
      </c>
      <c r="F40" s="27" t="inlineStr">
        <is>
          <t>O3</t>
        </is>
      </c>
      <c r="G40" s="27" t="inlineStr">
        <is>
          <t>Officer</t>
        </is>
      </c>
      <c r="H40" s="27" t="inlineStr">
        <is>
          <t>35D</t>
        </is>
      </c>
      <c r="I40" s="27" t="inlineStr">
        <is>
          <t>MI</t>
        </is>
      </c>
      <c r="J40" s="27" t="inlineStr">
        <is>
          <t>Staff</t>
        </is>
      </c>
      <c r="K40" s="27" t="inlineStr">
        <is>
          <t>Yes</t>
        </is>
      </c>
      <c r="L40" s="27" t="inlineStr">
        <is>
          <t>M-Day</t>
        </is>
      </c>
      <c r="M40" s="27" t="inlineStr">
        <is>
          <t>Filled</t>
        </is>
      </c>
      <c r="N40" s="27" t="inlineStr"/>
      <c r="O40" s="27" t="inlineStr"/>
      <c r="P40" s="27" t="inlineStr"/>
      <c r="Q40" s="27" t="inlineStr"/>
      <c r="R40" s="26" t="inlineStr">
        <is>
          <t>[DEMO]</t>
        </is>
      </c>
    </row>
    <row r="41">
      <c r="A41" s="25" t="n">
        <v>39</v>
      </c>
      <c r="B41" s="25" t="inlineStr">
        <is>
          <t>1-163d IN BN</t>
        </is>
      </c>
      <c r="C41" s="25" t="inlineStr">
        <is>
          <t>W4MMBG</t>
        </is>
      </c>
      <c r="D41" s="25" t="inlineStr">
        <is>
          <t>Great Falls</t>
        </is>
      </c>
      <c r="E41" s="25" t="inlineStr">
        <is>
          <t>CDR, B Co</t>
        </is>
      </c>
      <c r="F41" s="25" t="inlineStr">
        <is>
          <t>O3</t>
        </is>
      </c>
      <c r="G41" s="25" t="inlineStr">
        <is>
          <t>Officer</t>
        </is>
      </c>
      <c r="H41" s="25" t="inlineStr">
        <is>
          <t>11A</t>
        </is>
      </c>
      <c r="I41" s="25" t="inlineStr">
        <is>
          <t>IN</t>
        </is>
      </c>
      <c r="J41" s="25" t="inlineStr">
        <is>
          <t>Command</t>
        </is>
      </c>
      <c r="K41" s="25" t="inlineStr">
        <is>
          <t>Yes</t>
        </is>
      </c>
      <c r="L41" s="25" t="inlineStr">
        <is>
          <t>M-Day</t>
        </is>
      </c>
      <c r="M41" s="25" t="inlineStr">
        <is>
          <t>Filled</t>
        </is>
      </c>
      <c r="N41" s="25" t="inlineStr">
        <is>
          <t>2027-07-01</t>
        </is>
      </c>
      <c r="O41" s="25" t="inlineStr"/>
      <c r="P41" s="25" t="inlineStr"/>
      <c r="Q41" s="25" t="inlineStr"/>
      <c r="R41" s="26" t="inlineStr">
        <is>
          <t>[DEMO]</t>
        </is>
      </c>
    </row>
    <row r="42">
      <c r="A42" s="27" t="n">
        <v>40</v>
      </c>
      <c r="B42" s="27" t="inlineStr">
        <is>
          <t>1-163d IN BN</t>
        </is>
      </c>
      <c r="C42" s="27" t="inlineStr">
        <is>
          <t>W4MMBG</t>
        </is>
      </c>
      <c r="D42" s="27" t="inlineStr">
        <is>
          <t>Great Falls</t>
        </is>
      </c>
      <c r="E42" s="27" t="inlineStr">
        <is>
          <t>XO, 1-163d IN BN</t>
        </is>
      </c>
      <c r="F42" s="27" t="inlineStr">
        <is>
          <t>O4</t>
        </is>
      </c>
      <c r="G42" s="27" t="inlineStr">
        <is>
          <t>Officer</t>
        </is>
      </c>
      <c r="H42" s="27" t="inlineStr">
        <is>
          <t>11A</t>
        </is>
      </c>
      <c r="I42" s="27" t="inlineStr">
        <is>
          <t>IN</t>
        </is>
      </c>
      <c r="J42" s="27" t="inlineStr">
        <is>
          <t>Staff</t>
        </is>
      </c>
      <c r="K42" s="27" t="inlineStr">
        <is>
          <t>Yes</t>
        </is>
      </c>
      <c r="L42" s="27" t="inlineStr">
        <is>
          <t>M-Day</t>
        </is>
      </c>
      <c r="M42" s="27" t="inlineStr">
        <is>
          <t>Filled</t>
        </is>
      </c>
      <c r="N42" s="27" t="inlineStr"/>
      <c r="O42" s="27" t="inlineStr"/>
      <c r="P42" s="27" t="inlineStr"/>
      <c r="Q42" s="27" t="inlineStr"/>
      <c r="R42" s="26" t="inlineStr">
        <is>
          <t>[DEMO]</t>
        </is>
      </c>
    </row>
    <row r="43">
      <c r="A43" s="25" t="n">
        <v>41</v>
      </c>
      <c r="B43" s="25" t="inlineStr">
        <is>
          <t>495th Combat Sust Spt Co</t>
        </is>
      </c>
      <c r="C43" s="25" t="inlineStr">
        <is>
          <t>W4MMMS</t>
        </is>
      </c>
      <c r="D43" s="25" t="inlineStr">
        <is>
          <t>Missoula</t>
        </is>
      </c>
      <c r="E43" s="25" t="inlineStr">
        <is>
          <t>Motor Transport Operator</t>
        </is>
      </c>
      <c r="F43" s="25" t="inlineStr">
        <is>
          <t>E4</t>
        </is>
      </c>
      <c r="G43" s="25" t="inlineStr">
        <is>
          <t>Enlisted</t>
        </is>
      </c>
      <c r="H43" s="25" t="inlineStr">
        <is>
          <t>88M</t>
        </is>
      </c>
      <c r="I43" s="25" t="inlineStr">
        <is>
          <t>TC</t>
        </is>
      </c>
      <c r="J43" s="25" t="inlineStr">
        <is>
          <t>Technical</t>
        </is>
      </c>
      <c r="K43" s="25" t="inlineStr">
        <is>
          <t>No</t>
        </is>
      </c>
      <c r="L43" s="25" t="inlineStr">
        <is>
          <t>M-Day</t>
        </is>
      </c>
      <c r="M43" s="25" t="inlineStr">
        <is>
          <t>Vacant</t>
        </is>
      </c>
      <c r="N43" s="25" t="inlineStr"/>
      <c r="O43" s="25" t="inlineStr"/>
      <c r="P43" s="25" t="inlineStr"/>
      <c r="Q43" s="25" t="inlineStr"/>
      <c r="R43" s="26" t="inlineStr">
        <is>
          <t>[DEMO]</t>
        </is>
      </c>
    </row>
    <row r="44">
      <c r="A44" s="27" t="n">
        <v>42</v>
      </c>
      <c r="B44" s="27" t="inlineStr">
        <is>
          <t>495th Combat Sust Spt Co</t>
        </is>
      </c>
      <c r="C44" s="27" t="inlineStr">
        <is>
          <t>W4MMMS</t>
        </is>
      </c>
      <c r="D44" s="27" t="inlineStr">
        <is>
          <t>Missoula</t>
        </is>
      </c>
      <c r="E44" s="27" t="inlineStr">
        <is>
          <t>Motor SGT</t>
        </is>
      </c>
      <c r="F44" s="27" t="inlineStr">
        <is>
          <t>E6</t>
        </is>
      </c>
      <c r="G44" s="27" t="inlineStr">
        <is>
          <t>Enlisted</t>
        </is>
      </c>
      <c r="H44" s="27" t="inlineStr">
        <is>
          <t>88M</t>
        </is>
      </c>
      <c r="I44" s="27" t="inlineStr">
        <is>
          <t>TC</t>
        </is>
      </c>
      <c r="J44" s="27" t="inlineStr">
        <is>
          <t>Leadership</t>
        </is>
      </c>
      <c r="K44" s="27" t="inlineStr">
        <is>
          <t>No</t>
        </is>
      </c>
      <c r="L44" s="27" t="inlineStr">
        <is>
          <t>M-Day</t>
        </is>
      </c>
      <c r="M44" s="27" t="inlineStr">
        <is>
          <t>Filled</t>
        </is>
      </c>
      <c r="N44" s="27" t="inlineStr"/>
      <c r="O44" s="27" t="inlineStr"/>
      <c r="P44" s="27" t="inlineStr"/>
      <c r="Q44" s="27" t="inlineStr"/>
      <c r="R44" s="26" t="inlineStr">
        <is>
          <t>[DEMO]</t>
        </is>
      </c>
    </row>
    <row r="45">
      <c r="A45" s="25" t="n">
        <v>43</v>
      </c>
      <c r="B45" s="25" t="inlineStr">
        <is>
          <t>495th Combat Sust Spt Co</t>
        </is>
      </c>
      <c r="C45" s="25" t="inlineStr">
        <is>
          <t>W4MMMS</t>
        </is>
      </c>
      <c r="D45" s="25" t="inlineStr">
        <is>
          <t>Missoula</t>
        </is>
      </c>
      <c r="E45" s="25" t="inlineStr">
        <is>
          <t>Supply SGT</t>
        </is>
      </c>
      <c r="F45" s="25" t="inlineStr">
        <is>
          <t>E6</t>
        </is>
      </c>
      <c r="G45" s="25" t="inlineStr">
        <is>
          <t>Enlisted</t>
        </is>
      </c>
      <c r="H45" s="25" t="inlineStr">
        <is>
          <t>92Y</t>
        </is>
      </c>
      <c r="I45" s="25" t="inlineStr">
        <is>
          <t>LG</t>
        </is>
      </c>
      <c r="J45" s="25" t="inlineStr">
        <is>
          <t>Technical</t>
        </is>
      </c>
      <c r="K45" s="25" t="inlineStr">
        <is>
          <t>No</t>
        </is>
      </c>
      <c r="L45" s="25" t="inlineStr">
        <is>
          <t>M-Day</t>
        </is>
      </c>
      <c r="M45" s="25" t="inlineStr">
        <is>
          <t>Vacant</t>
        </is>
      </c>
      <c r="N45" s="25" t="inlineStr">
        <is>
          <t>2026-09-01</t>
        </is>
      </c>
      <c r="O45" s="25" t="inlineStr"/>
      <c r="P45" s="25" t="inlineStr"/>
      <c r="Q45" s="25" t="inlineStr"/>
      <c r="R45" s="26" t="inlineStr">
        <is>
          <t>[DEMO]</t>
        </is>
      </c>
    </row>
    <row r="46">
      <c r="A46" s="27" t="n">
        <v>44</v>
      </c>
      <c r="B46" s="27" t="inlineStr">
        <is>
          <t>495th Combat Sust Spt Co</t>
        </is>
      </c>
      <c r="C46" s="27" t="inlineStr">
        <is>
          <t>W4MMMS</t>
        </is>
      </c>
      <c r="D46" s="27" t="inlineStr">
        <is>
          <t>Missoula</t>
        </is>
      </c>
      <c r="E46" s="27" t="inlineStr">
        <is>
          <t>Orderly Room / HR SGT</t>
        </is>
      </c>
      <c r="F46" s="27" t="inlineStr">
        <is>
          <t>E6</t>
        </is>
      </c>
      <c r="G46" s="27" t="inlineStr">
        <is>
          <t>Enlisted</t>
        </is>
      </c>
      <c r="H46" s="27" t="inlineStr">
        <is>
          <t>42A</t>
        </is>
      </c>
      <c r="I46" s="27" t="inlineStr">
        <is>
          <t>AG</t>
        </is>
      </c>
      <c r="J46" s="27" t="inlineStr">
        <is>
          <t>Staff</t>
        </is>
      </c>
      <c r="K46" s="27" t="inlineStr">
        <is>
          <t>No</t>
        </is>
      </c>
      <c r="L46" s="27" t="inlineStr">
        <is>
          <t>M-Day</t>
        </is>
      </c>
      <c r="M46" s="27" t="inlineStr">
        <is>
          <t>Filled</t>
        </is>
      </c>
      <c r="N46" s="27" t="inlineStr"/>
      <c r="O46" s="27" t="inlineStr"/>
      <c r="P46" s="27" t="inlineStr"/>
      <c r="Q46" s="27" t="inlineStr"/>
      <c r="R46" s="26" t="inlineStr">
        <is>
          <t>[DEMO]</t>
        </is>
      </c>
    </row>
    <row r="47">
      <c r="A47" s="25" t="n">
        <v>45</v>
      </c>
      <c r="B47" s="25" t="inlineStr">
        <is>
          <t>495th Combat Sust Spt Co</t>
        </is>
      </c>
      <c r="C47" s="25" t="inlineStr">
        <is>
          <t>W4MMMS</t>
        </is>
      </c>
      <c r="D47" s="25" t="inlineStr">
        <is>
          <t>Missoula</t>
        </is>
      </c>
      <c r="E47" s="25" t="inlineStr">
        <is>
          <t>1SG, 495th CSSC</t>
        </is>
      </c>
      <c r="F47" s="25" t="inlineStr">
        <is>
          <t>E8</t>
        </is>
      </c>
      <c r="G47" s="25" t="inlineStr">
        <is>
          <t>Enlisted</t>
        </is>
      </c>
      <c r="H47" s="25" t="inlineStr">
        <is>
          <t>92Y</t>
        </is>
      </c>
      <c r="I47" s="25" t="inlineStr">
        <is>
          <t>LG</t>
        </is>
      </c>
      <c r="J47" s="25" t="inlineStr">
        <is>
          <t>Command</t>
        </is>
      </c>
      <c r="K47" s="25" t="inlineStr">
        <is>
          <t>Yes</t>
        </is>
      </c>
      <c r="L47" s="25" t="inlineStr">
        <is>
          <t>M-Day</t>
        </is>
      </c>
      <c r="M47" s="25" t="inlineStr">
        <is>
          <t>Filled</t>
        </is>
      </c>
      <c r="N47" s="25" t="inlineStr"/>
      <c r="O47" s="25" t="inlineStr"/>
      <c r="P47" s="25" t="inlineStr"/>
      <c r="Q47" s="25" t="inlineStr"/>
      <c r="R47" s="26" t="inlineStr">
        <is>
          <t>[DEMO]</t>
        </is>
      </c>
    </row>
    <row r="48">
      <c r="A48" s="27" t="n">
        <v>46</v>
      </c>
      <c r="B48" s="27" t="inlineStr">
        <is>
          <t>495th Combat Sust Spt Co</t>
        </is>
      </c>
      <c r="C48" s="27" t="inlineStr">
        <is>
          <t>W4MMMS</t>
        </is>
      </c>
      <c r="D48" s="27" t="inlineStr">
        <is>
          <t>Missoula</t>
        </is>
      </c>
      <c r="E48" s="27" t="inlineStr">
        <is>
          <t>CDR, 495th CSSC</t>
        </is>
      </c>
      <c r="F48" s="27" t="inlineStr">
        <is>
          <t>O3</t>
        </is>
      </c>
      <c r="G48" s="27" t="inlineStr">
        <is>
          <t>Officer</t>
        </is>
      </c>
      <c r="H48" s="27" t="inlineStr">
        <is>
          <t>92A</t>
        </is>
      </c>
      <c r="I48" s="27" t="inlineStr">
        <is>
          <t>LG</t>
        </is>
      </c>
      <c r="J48" s="27" t="inlineStr">
        <is>
          <t>Command</t>
        </is>
      </c>
      <c r="K48" s="27" t="inlineStr">
        <is>
          <t>Yes</t>
        </is>
      </c>
      <c r="L48" s="27" t="inlineStr">
        <is>
          <t>M-Day</t>
        </is>
      </c>
      <c r="M48" s="27" t="inlineStr">
        <is>
          <t>Vacant</t>
        </is>
      </c>
      <c r="N48" s="27" t="inlineStr">
        <is>
          <t>2026-10-01</t>
        </is>
      </c>
      <c r="O48" s="27" t="inlineStr"/>
      <c r="P48" s="27" t="inlineStr"/>
      <c r="Q48" s="27" t="inlineStr"/>
      <c r="R48" s="26" t="inlineStr">
        <is>
          <t>[DEMO]</t>
        </is>
      </c>
    </row>
    <row r="49">
      <c r="A49" s="25" t="n">
        <v>47</v>
      </c>
      <c r="B49" s="25" t="inlineStr">
        <is>
          <t>163d CAV, A Troop</t>
        </is>
      </c>
      <c r="C49" s="25" t="inlineStr">
        <is>
          <t>W4MMBT</t>
        </is>
      </c>
      <c r="D49" s="25" t="inlineStr">
        <is>
          <t>Bozeman</t>
        </is>
      </c>
      <c r="E49" s="25" t="inlineStr">
        <is>
          <t>Scout / 19D</t>
        </is>
      </c>
      <c r="F49" s="25" t="inlineStr">
        <is>
          <t>E4</t>
        </is>
      </c>
      <c r="G49" s="25" t="inlineStr">
        <is>
          <t>Enlisted</t>
        </is>
      </c>
      <c r="H49" s="25" t="inlineStr">
        <is>
          <t>19D</t>
        </is>
      </c>
      <c r="I49" s="25" t="inlineStr">
        <is>
          <t>AR</t>
        </is>
      </c>
      <c r="J49" s="25" t="inlineStr">
        <is>
          <t>Technical</t>
        </is>
      </c>
      <c r="K49" s="25" t="inlineStr">
        <is>
          <t>No</t>
        </is>
      </c>
      <c r="L49" s="25" t="inlineStr">
        <is>
          <t>M-Day</t>
        </is>
      </c>
      <c r="M49" s="25" t="inlineStr">
        <is>
          <t>Vacant</t>
        </is>
      </c>
      <c r="N49" s="25" t="inlineStr"/>
      <c r="O49" s="25" t="inlineStr"/>
      <c r="P49" s="25" t="inlineStr"/>
      <c r="Q49" s="25" t="inlineStr"/>
      <c r="R49" s="26" t="inlineStr">
        <is>
          <t>[DEMO]</t>
        </is>
      </c>
    </row>
    <row r="50">
      <c r="A50" s="27" t="n">
        <v>48</v>
      </c>
      <c r="B50" s="27" t="inlineStr">
        <is>
          <t>163d CAV, A Troop</t>
        </is>
      </c>
      <c r="C50" s="27" t="inlineStr">
        <is>
          <t>W4MMBT</t>
        </is>
      </c>
      <c r="D50" s="27" t="inlineStr">
        <is>
          <t>Bozeman</t>
        </is>
      </c>
      <c r="E50" s="27" t="inlineStr">
        <is>
          <t>Scout SGT</t>
        </is>
      </c>
      <c r="F50" s="27" t="inlineStr">
        <is>
          <t>E5</t>
        </is>
      </c>
      <c r="G50" s="27" t="inlineStr">
        <is>
          <t>Enlisted</t>
        </is>
      </c>
      <c r="H50" s="27" t="inlineStr">
        <is>
          <t>19D</t>
        </is>
      </c>
      <c r="I50" s="27" t="inlineStr">
        <is>
          <t>AR</t>
        </is>
      </c>
      <c r="J50" s="27" t="inlineStr">
        <is>
          <t>Leadership</t>
        </is>
      </c>
      <c r="K50" s="27" t="inlineStr">
        <is>
          <t>No</t>
        </is>
      </c>
      <c r="L50" s="27" t="inlineStr">
        <is>
          <t>M-Day</t>
        </is>
      </c>
      <c r="M50" s="27" t="inlineStr">
        <is>
          <t>Filled</t>
        </is>
      </c>
      <c r="N50" s="27" t="inlineStr"/>
      <c r="O50" s="27" t="inlineStr"/>
      <c r="P50" s="27" t="inlineStr"/>
      <c r="Q50" s="27" t="inlineStr"/>
      <c r="R50" s="26" t="inlineStr">
        <is>
          <t>[DEMO]</t>
        </is>
      </c>
    </row>
    <row r="51">
      <c r="A51" s="25" t="n">
        <v>49</v>
      </c>
      <c r="B51" s="25" t="inlineStr">
        <is>
          <t>163d CAV, A Troop</t>
        </is>
      </c>
      <c r="C51" s="25" t="inlineStr">
        <is>
          <t>W4MMBT</t>
        </is>
      </c>
      <c r="D51" s="25" t="inlineStr">
        <is>
          <t>Bozeman</t>
        </is>
      </c>
      <c r="E51" s="25" t="inlineStr">
        <is>
          <t>Staff SGT Scout</t>
        </is>
      </c>
      <c r="F51" s="25" t="inlineStr">
        <is>
          <t>E6</t>
        </is>
      </c>
      <c r="G51" s="25" t="inlineStr">
        <is>
          <t>Enlisted</t>
        </is>
      </c>
      <c r="H51" s="25" t="inlineStr">
        <is>
          <t>19D</t>
        </is>
      </c>
      <c r="I51" s="25" t="inlineStr">
        <is>
          <t>AR</t>
        </is>
      </c>
      <c r="J51" s="25" t="inlineStr">
        <is>
          <t>Leadership</t>
        </is>
      </c>
      <c r="K51" s="25" t="inlineStr">
        <is>
          <t>Yes</t>
        </is>
      </c>
      <c r="L51" s="25" t="inlineStr">
        <is>
          <t>M-Day</t>
        </is>
      </c>
      <c r="M51" s="25" t="inlineStr">
        <is>
          <t>Vacant</t>
        </is>
      </c>
      <c r="N51" s="25" t="inlineStr"/>
      <c r="O51" s="25" t="inlineStr"/>
      <c r="P51" s="25" t="inlineStr"/>
      <c r="Q51" s="25" t="inlineStr"/>
      <c r="R51" s="26" t="inlineStr">
        <is>
          <t>[DEMO]</t>
        </is>
      </c>
    </row>
    <row r="52">
      <c r="A52" s="27" t="n">
        <v>50</v>
      </c>
      <c r="B52" s="27" t="inlineStr">
        <is>
          <t>163d CAV, A Troop</t>
        </is>
      </c>
      <c r="C52" s="27" t="inlineStr">
        <is>
          <t>W4MMBT</t>
        </is>
      </c>
      <c r="D52" s="27" t="inlineStr">
        <is>
          <t>Bozeman</t>
        </is>
      </c>
      <c r="E52" s="27" t="inlineStr">
        <is>
          <t>Medic 68W</t>
        </is>
      </c>
      <c r="F52" s="27" t="inlineStr">
        <is>
          <t>E5</t>
        </is>
      </c>
      <c r="G52" s="27" t="inlineStr">
        <is>
          <t>Enlisted</t>
        </is>
      </c>
      <c r="H52" s="27" t="inlineStr">
        <is>
          <t>68W</t>
        </is>
      </c>
      <c r="I52" s="27" t="inlineStr">
        <is>
          <t>MC</t>
        </is>
      </c>
      <c r="J52" s="27" t="inlineStr">
        <is>
          <t>Technical</t>
        </is>
      </c>
      <c r="K52" s="27" t="inlineStr">
        <is>
          <t>No</t>
        </is>
      </c>
      <c r="L52" s="27" t="inlineStr">
        <is>
          <t>M-Day</t>
        </is>
      </c>
      <c r="M52" s="27" t="inlineStr">
        <is>
          <t>Filled</t>
        </is>
      </c>
      <c r="N52" s="27" t="inlineStr"/>
      <c r="O52" s="27" t="inlineStr"/>
      <c r="P52" s="27" t="inlineStr"/>
      <c r="Q52" s="27" t="inlineStr"/>
      <c r="R52" s="26" t="inlineStr">
        <is>
          <t>[DEMO]</t>
        </is>
      </c>
    </row>
    <row r="53">
      <c r="A53" s="25" t="n">
        <v>51</v>
      </c>
      <c r="B53" s="25" t="inlineStr">
        <is>
          <t>163d CAV, A Troop</t>
        </is>
      </c>
      <c r="C53" s="25" t="inlineStr">
        <is>
          <t>W4MMBT</t>
        </is>
      </c>
      <c r="D53" s="25" t="inlineStr">
        <is>
          <t>Bozeman</t>
        </is>
      </c>
      <c r="E53" s="25" t="inlineStr">
        <is>
          <t>Senior Medic / Medical SGT</t>
        </is>
      </c>
      <c r="F53" s="25" t="inlineStr">
        <is>
          <t>E7</t>
        </is>
      </c>
      <c r="G53" s="25" t="inlineStr">
        <is>
          <t>Enlisted</t>
        </is>
      </c>
      <c r="H53" s="25" t="inlineStr">
        <is>
          <t>68W</t>
        </is>
      </c>
      <c r="I53" s="25" t="inlineStr">
        <is>
          <t>MC</t>
        </is>
      </c>
      <c r="J53" s="25" t="inlineStr">
        <is>
          <t>Technical</t>
        </is>
      </c>
      <c r="K53" s="25" t="inlineStr">
        <is>
          <t>No</t>
        </is>
      </c>
      <c r="L53" s="25" t="inlineStr">
        <is>
          <t>M-Day</t>
        </is>
      </c>
      <c r="M53" s="25" t="inlineStr">
        <is>
          <t>Vacant</t>
        </is>
      </c>
      <c r="N53" s="25" t="inlineStr">
        <is>
          <t>2027-01-01</t>
        </is>
      </c>
      <c r="O53" s="25" t="inlineStr"/>
      <c r="P53" s="25" t="inlineStr"/>
      <c r="Q53" s="25" t="inlineStr"/>
      <c r="R53" s="26" t="inlineStr">
        <is>
          <t>[DEMO]</t>
        </is>
      </c>
    </row>
    <row r="54">
      <c r="A54" s="27" t="n">
        <v>52</v>
      </c>
      <c r="B54" s="27" t="inlineStr">
        <is>
          <t>163d CAV, A Troop</t>
        </is>
      </c>
      <c r="C54" s="27" t="inlineStr">
        <is>
          <t>W4MMBT</t>
        </is>
      </c>
      <c r="D54" s="27" t="inlineStr">
        <is>
          <t>Bozeman</t>
        </is>
      </c>
      <c r="E54" s="27" t="inlineStr">
        <is>
          <t>Troop XO</t>
        </is>
      </c>
      <c r="F54" s="27" t="inlineStr">
        <is>
          <t>O2</t>
        </is>
      </c>
      <c r="G54" s="27" t="inlineStr">
        <is>
          <t>Officer</t>
        </is>
      </c>
      <c r="H54" s="27" t="inlineStr">
        <is>
          <t>19A</t>
        </is>
      </c>
      <c r="I54" s="27" t="inlineStr">
        <is>
          <t>AR</t>
        </is>
      </c>
      <c r="J54" s="27" t="inlineStr">
        <is>
          <t>Staff</t>
        </is>
      </c>
      <c r="K54" s="27" t="inlineStr">
        <is>
          <t>No</t>
        </is>
      </c>
      <c r="L54" s="27" t="inlineStr">
        <is>
          <t>M-Day</t>
        </is>
      </c>
      <c r="M54" s="27" t="inlineStr">
        <is>
          <t>Filled</t>
        </is>
      </c>
      <c r="N54" s="27" t="inlineStr"/>
      <c r="O54" s="27" t="inlineStr"/>
      <c r="P54" s="27" t="inlineStr"/>
      <c r="Q54" s="27" t="inlineStr"/>
      <c r="R54" s="26" t="inlineStr">
        <is>
          <t>[DEMO]</t>
        </is>
      </c>
    </row>
    <row r="55">
      <c r="A55" s="25" t="n">
        <v>53</v>
      </c>
      <c r="B55" s="25" t="inlineStr">
        <is>
          <t>163d CAV, A Troop</t>
        </is>
      </c>
      <c r="C55" s="25" t="inlineStr">
        <is>
          <t>W4MMBT</t>
        </is>
      </c>
      <c r="D55" s="25" t="inlineStr">
        <is>
          <t>Bozeman</t>
        </is>
      </c>
      <c r="E55" s="25" t="inlineStr">
        <is>
          <t>Troop CDR, A Trp</t>
        </is>
      </c>
      <c r="F55" s="25" t="inlineStr">
        <is>
          <t>O3</t>
        </is>
      </c>
      <c r="G55" s="25" t="inlineStr">
        <is>
          <t>Officer</t>
        </is>
      </c>
      <c r="H55" s="25" t="inlineStr">
        <is>
          <t>19A</t>
        </is>
      </c>
      <c r="I55" s="25" t="inlineStr">
        <is>
          <t>AR</t>
        </is>
      </c>
      <c r="J55" s="25" t="inlineStr">
        <is>
          <t>Command</t>
        </is>
      </c>
      <c r="K55" s="25" t="inlineStr">
        <is>
          <t>Yes</t>
        </is>
      </c>
      <c r="L55" s="25" t="inlineStr">
        <is>
          <t>M-Day</t>
        </is>
      </c>
      <c r="M55" s="25" t="inlineStr">
        <is>
          <t>Filled</t>
        </is>
      </c>
      <c r="N55" s="25" t="inlineStr">
        <is>
          <t>2027-06-01</t>
        </is>
      </c>
      <c r="O55" s="25" t="inlineStr"/>
      <c r="P55" s="25" t="inlineStr"/>
      <c r="Q55" s="25" t="inlineStr"/>
      <c r="R55" s="26" t="inlineStr">
        <is>
          <t>[DEMO]</t>
        </is>
      </c>
    </row>
    <row r="56">
      <c r="A56" s="27" t="n">
        <v>54</v>
      </c>
      <c r="B56" s="27" t="inlineStr">
        <is>
          <t>224th Eng Co</t>
        </is>
      </c>
      <c r="C56" s="27" t="inlineStr">
        <is>
          <t>W4MMKL</t>
        </is>
      </c>
      <c r="D56" s="27" t="inlineStr">
        <is>
          <t>Kalispell</t>
        </is>
      </c>
      <c r="E56" s="27" t="inlineStr">
        <is>
          <t>Combat Engineer</t>
        </is>
      </c>
      <c r="F56" s="27" t="inlineStr">
        <is>
          <t>E4</t>
        </is>
      </c>
      <c r="G56" s="27" t="inlineStr">
        <is>
          <t>Enlisted</t>
        </is>
      </c>
      <c r="H56" s="27" t="inlineStr">
        <is>
          <t>12B</t>
        </is>
      </c>
      <c r="I56" s="27" t="inlineStr">
        <is>
          <t>EN</t>
        </is>
      </c>
      <c r="J56" s="27" t="inlineStr">
        <is>
          <t>Technical</t>
        </is>
      </c>
      <c r="K56" s="27" t="inlineStr">
        <is>
          <t>No</t>
        </is>
      </c>
      <c r="L56" s="27" t="inlineStr">
        <is>
          <t>M-Day</t>
        </is>
      </c>
      <c r="M56" s="27" t="inlineStr">
        <is>
          <t>Vacant</t>
        </is>
      </c>
      <c r="N56" s="27" t="inlineStr"/>
      <c r="O56" s="27" t="inlineStr"/>
      <c r="P56" s="27" t="inlineStr"/>
      <c r="Q56" s="27" t="inlineStr"/>
      <c r="R56" s="26" t="inlineStr">
        <is>
          <t>[DEMO]</t>
        </is>
      </c>
    </row>
    <row r="57">
      <c r="A57" s="25" t="n">
        <v>55</v>
      </c>
      <c r="B57" s="25" t="inlineStr">
        <is>
          <t>224th Eng Co</t>
        </is>
      </c>
      <c r="C57" s="25" t="inlineStr">
        <is>
          <t>W4MMKL</t>
        </is>
      </c>
      <c r="D57" s="25" t="inlineStr">
        <is>
          <t>Kalispell</t>
        </is>
      </c>
      <c r="E57" s="25" t="inlineStr">
        <is>
          <t>Squad Leader</t>
        </is>
      </c>
      <c r="F57" s="25" t="inlineStr">
        <is>
          <t>E6</t>
        </is>
      </c>
      <c r="G57" s="25" t="inlineStr">
        <is>
          <t>Enlisted</t>
        </is>
      </c>
      <c r="H57" s="25" t="inlineStr">
        <is>
          <t>12B</t>
        </is>
      </c>
      <c r="I57" s="25" t="inlineStr">
        <is>
          <t>EN</t>
        </is>
      </c>
      <c r="J57" s="25" t="inlineStr">
        <is>
          <t>Leadership</t>
        </is>
      </c>
      <c r="K57" s="25" t="inlineStr">
        <is>
          <t>Yes</t>
        </is>
      </c>
      <c r="L57" s="25" t="inlineStr">
        <is>
          <t>M-Day</t>
        </is>
      </c>
      <c r="M57" s="25" t="inlineStr">
        <is>
          <t>Filled</t>
        </is>
      </c>
      <c r="N57" s="25" t="inlineStr"/>
      <c r="O57" s="25" t="inlineStr"/>
      <c r="P57" s="25" t="inlineStr"/>
      <c r="Q57" s="25" t="inlineStr"/>
      <c r="R57" s="26" t="inlineStr">
        <is>
          <t>[DEMO]</t>
        </is>
      </c>
    </row>
    <row r="58">
      <c r="A58" s="27" t="n">
        <v>56</v>
      </c>
      <c r="B58" s="27" t="inlineStr">
        <is>
          <t>224th Eng Co</t>
        </is>
      </c>
      <c r="C58" s="27" t="inlineStr">
        <is>
          <t>W4MMKL</t>
        </is>
      </c>
      <c r="D58" s="27" t="inlineStr">
        <is>
          <t>Kalispell</t>
        </is>
      </c>
      <c r="E58" s="27" t="inlineStr">
        <is>
          <t>Platoon Sergeant</t>
        </is>
      </c>
      <c r="F58" s="27" t="inlineStr">
        <is>
          <t>E7</t>
        </is>
      </c>
      <c r="G58" s="27" t="inlineStr">
        <is>
          <t>Enlisted</t>
        </is>
      </c>
      <c r="H58" s="27" t="inlineStr">
        <is>
          <t>12B</t>
        </is>
      </c>
      <c r="I58" s="27" t="inlineStr">
        <is>
          <t>EN</t>
        </is>
      </c>
      <c r="J58" s="27" t="inlineStr">
        <is>
          <t>Leadership</t>
        </is>
      </c>
      <c r="K58" s="27" t="inlineStr">
        <is>
          <t>Yes</t>
        </is>
      </c>
      <c r="L58" s="27" t="inlineStr">
        <is>
          <t>M-Day</t>
        </is>
      </c>
      <c r="M58" s="27" t="inlineStr">
        <is>
          <t>Vacant</t>
        </is>
      </c>
      <c r="N58" s="27" t="inlineStr">
        <is>
          <t>2026-11-01</t>
        </is>
      </c>
      <c r="O58" s="27" t="inlineStr"/>
      <c r="P58" s="27" t="inlineStr"/>
      <c r="Q58" s="27" t="inlineStr"/>
      <c r="R58" s="26" t="inlineStr">
        <is>
          <t>[DEMO]</t>
        </is>
      </c>
    </row>
    <row r="59">
      <c r="A59" s="25" t="n">
        <v>57</v>
      </c>
      <c r="B59" s="25" t="inlineStr">
        <is>
          <t>224th Eng Co</t>
        </is>
      </c>
      <c r="C59" s="25" t="inlineStr">
        <is>
          <t>W4MMKL</t>
        </is>
      </c>
      <c r="D59" s="25" t="inlineStr">
        <is>
          <t>Kalispell</t>
        </is>
      </c>
      <c r="E59" s="25" t="inlineStr">
        <is>
          <t>1SG, 224th Eng Co</t>
        </is>
      </c>
      <c r="F59" s="25" t="inlineStr">
        <is>
          <t>E8</t>
        </is>
      </c>
      <c r="G59" s="25" t="inlineStr">
        <is>
          <t>Enlisted</t>
        </is>
      </c>
      <c r="H59" s="25" t="inlineStr">
        <is>
          <t>12B</t>
        </is>
      </c>
      <c r="I59" s="25" t="inlineStr">
        <is>
          <t>EN</t>
        </is>
      </c>
      <c r="J59" s="25" t="inlineStr">
        <is>
          <t>Command</t>
        </is>
      </c>
      <c r="K59" s="25" t="inlineStr">
        <is>
          <t>Yes</t>
        </is>
      </c>
      <c r="L59" s="25" t="inlineStr">
        <is>
          <t>M-Day</t>
        </is>
      </c>
      <c r="M59" s="25" t="inlineStr">
        <is>
          <t>Filled</t>
        </is>
      </c>
      <c r="N59" s="25" t="inlineStr"/>
      <c r="O59" s="25" t="inlineStr"/>
      <c r="P59" s="25" t="inlineStr"/>
      <c r="Q59" s="25" t="inlineStr"/>
      <c r="R59" s="26" t="inlineStr">
        <is>
          <t>[DEMO]</t>
        </is>
      </c>
    </row>
    <row r="60">
      <c r="A60" s="27" t="n">
        <v>58</v>
      </c>
      <c r="B60" s="27" t="inlineStr">
        <is>
          <t>224th Eng Co</t>
        </is>
      </c>
      <c r="C60" s="27" t="inlineStr">
        <is>
          <t>W4MMKL</t>
        </is>
      </c>
      <c r="D60" s="27" t="inlineStr">
        <is>
          <t>Kalispell</t>
        </is>
      </c>
      <c r="E60" s="27" t="inlineStr">
        <is>
          <t>CDR, 224th Eng Co</t>
        </is>
      </c>
      <c r="F60" s="27" t="inlineStr">
        <is>
          <t>O3</t>
        </is>
      </c>
      <c r="G60" s="27" t="inlineStr">
        <is>
          <t>Officer</t>
        </is>
      </c>
      <c r="H60" s="27" t="inlineStr">
        <is>
          <t>12A</t>
        </is>
      </c>
      <c r="I60" s="27" t="inlineStr">
        <is>
          <t>EN</t>
        </is>
      </c>
      <c r="J60" s="27" t="inlineStr">
        <is>
          <t>Command</t>
        </is>
      </c>
      <c r="K60" s="27" t="inlineStr">
        <is>
          <t>Yes</t>
        </is>
      </c>
      <c r="L60" s="27" t="inlineStr">
        <is>
          <t>M-Day</t>
        </is>
      </c>
      <c r="M60" s="27" t="inlineStr">
        <is>
          <t>Filled</t>
        </is>
      </c>
      <c r="N60" s="27" t="inlineStr">
        <is>
          <t>2028-01-01</t>
        </is>
      </c>
      <c r="O60" s="27" t="inlineStr"/>
      <c r="P60" s="27" t="inlineStr"/>
      <c r="Q60" s="27" t="inlineStr"/>
      <c r="R60" s="26" t="inlineStr">
        <is>
          <t>[DEMO]</t>
        </is>
      </c>
    </row>
    <row r="61">
      <c r="A61" s="25" t="n">
        <v>59</v>
      </c>
      <c r="B61" s="25" t="inlineStr">
        <is>
          <t>163d CAV, C Troop</t>
        </is>
      </c>
      <c r="C61" s="25" t="inlineStr">
        <is>
          <t>W4MMMC</t>
        </is>
      </c>
      <c r="D61" s="25" t="inlineStr">
        <is>
          <t>Miles City</t>
        </is>
      </c>
      <c r="E61" s="25" t="inlineStr">
        <is>
          <t>Scout</t>
        </is>
      </c>
      <c r="F61" s="25" t="inlineStr">
        <is>
          <t>E4</t>
        </is>
      </c>
      <c r="G61" s="25" t="inlineStr">
        <is>
          <t>Enlisted</t>
        </is>
      </c>
      <c r="H61" s="25" t="inlineStr">
        <is>
          <t>19D</t>
        </is>
      </c>
      <c r="I61" s="25" t="inlineStr">
        <is>
          <t>AR</t>
        </is>
      </c>
      <c r="J61" s="25" t="inlineStr">
        <is>
          <t>Technical</t>
        </is>
      </c>
      <c r="K61" s="25" t="inlineStr">
        <is>
          <t>No</t>
        </is>
      </c>
      <c r="L61" s="25" t="inlineStr">
        <is>
          <t>M-Day</t>
        </is>
      </c>
      <c r="M61" s="25" t="inlineStr">
        <is>
          <t>Vacant</t>
        </is>
      </c>
      <c r="N61" s="25" t="inlineStr"/>
      <c r="O61" s="25" t="inlineStr"/>
      <c r="P61" s="25" t="inlineStr"/>
      <c r="Q61" s="25" t="inlineStr"/>
      <c r="R61" s="26" t="inlineStr">
        <is>
          <t>[DEMO]</t>
        </is>
      </c>
    </row>
    <row r="62">
      <c r="A62" s="27" t="n">
        <v>60</v>
      </c>
      <c r="B62" s="27" t="inlineStr">
        <is>
          <t>163d CAV, C Troop</t>
        </is>
      </c>
      <c r="C62" s="27" t="inlineStr">
        <is>
          <t>W4MMMC</t>
        </is>
      </c>
      <c r="D62" s="27" t="inlineStr">
        <is>
          <t>Miles City</t>
        </is>
      </c>
      <c r="E62" s="27" t="inlineStr">
        <is>
          <t>Scout SGT</t>
        </is>
      </c>
      <c r="F62" s="27" t="inlineStr">
        <is>
          <t>E5</t>
        </is>
      </c>
      <c r="G62" s="27" t="inlineStr">
        <is>
          <t>Enlisted</t>
        </is>
      </c>
      <c r="H62" s="27" t="inlineStr">
        <is>
          <t>19D</t>
        </is>
      </c>
      <c r="I62" s="27" t="inlineStr">
        <is>
          <t>AR</t>
        </is>
      </c>
      <c r="J62" s="27" t="inlineStr">
        <is>
          <t>Leadership</t>
        </is>
      </c>
      <c r="K62" s="27" t="inlineStr">
        <is>
          <t>No</t>
        </is>
      </c>
      <c r="L62" s="27" t="inlineStr">
        <is>
          <t>M-Day</t>
        </is>
      </c>
      <c r="M62" s="27" t="inlineStr">
        <is>
          <t>Filled</t>
        </is>
      </c>
      <c r="N62" s="27" t="inlineStr"/>
      <c r="O62" s="27" t="inlineStr"/>
      <c r="P62" s="27" t="inlineStr"/>
      <c r="Q62" s="27" t="inlineStr"/>
      <c r="R62" s="26" t="inlineStr">
        <is>
          <t>[DEMO]</t>
        </is>
      </c>
    </row>
    <row r="63">
      <c r="A63" s="25" t="n">
        <v>61</v>
      </c>
      <c r="B63" s="25" t="inlineStr">
        <is>
          <t>163d CAV, C Troop</t>
        </is>
      </c>
      <c r="C63" s="25" t="inlineStr">
        <is>
          <t>W4MMMC</t>
        </is>
      </c>
      <c r="D63" s="25" t="inlineStr">
        <is>
          <t>Miles City</t>
        </is>
      </c>
      <c r="E63" s="25" t="inlineStr">
        <is>
          <t>Supply SGT</t>
        </is>
      </c>
      <c r="F63" s="25" t="inlineStr">
        <is>
          <t>E6</t>
        </is>
      </c>
      <c r="G63" s="25" t="inlineStr">
        <is>
          <t>Enlisted</t>
        </is>
      </c>
      <c r="H63" s="25" t="inlineStr">
        <is>
          <t>92Y</t>
        </is>
      </c>
      <c r="I63" s="25" t="inlineStr">
        <is>
          <t>LG</t>
        </is>
      </c>
      <c r="J63" s="25" t="inlineStr">
        <is>
          <t>Technical</t>
        </is>
      </c>
      <c r="K63" s="25" t="inlineStr">
        <is>
          <t>No</t>
        </is>
      </c>
      <c r="L63" s="25" t="inlineStr">
        <is>
          <t>M-Day</t>
        </is>
      </c>
      <c r="M63" s="25" t="inlineStr">
        <is>
          <t>Vacant</t>
        </is>
      </c>
      <c r="N63" s="25" t="inlineStr"/>
      <c r="O63" s="25" t="inlineStr"/>
      <c r="P63" s="25" t="inlineStr"/>
      <c r="Q63" s="25" t="inlineStr"/>
      <c r="R63" s="26" t="inlineStr">
        <is>
          <t>[DEMO]</t>
        </is>
      </c>
    </row>
    <row r="64">
      <c r="A64" s="27" t="n">
        <v>62</v>
      </c>
      <c r="B64" s="27" t="inlineStr">
        <is>
          <t>163d CAV, C Troop</t>
        </is>
      </c>
      <c r="C64" s="27" t="inlineStr">
        <is>
          <t>W4MMMC</t>
        </is>
      </c>
      <c r="D64" s="27" t="inlineStr">
        <is>
          <t>Miles City</t>
        </is>
      </c>
      <c r="E64" s="27" t="inlineStr">
        <is>
          <t>1SG, C Troop</t>
        </is>
      </c>
      <c r="F64" s="27" t="inlineStr">
        <is>
          <t>E8</t>
        </is>
      </c>
      <c r="G64" s="27" t="inlineStr">
        <is>
          <t>Enlisted</t>
        </is>
      </c>
      <c r="H64" s="27" t="inlineStr">
        <is>
          <t>19D</t>
        </is>
      </c>
      <c r="I64" s="27" t="inlineStr">
        <is>
          <t>AR</t>
        </is>
      </c>
      <c r="J64" s="27" t="inlineStr">
        <is>
          <t>Command</t>
        </is>
      </c>
      <c r="K64" s="27" t="inlineStr">
        <is>
          <t>Yes</t>
        </is>
      </c>
      <c r="L64" s="27" t="inlineStr">
        <is>
          <t>M-Day</t>
        </is>
      </c>
      <c r="M64" s="27" t="inlineStr">
        <is>
          <t>Filled</t>
        </is>
      </c>
      <c r="N64" s="27" t="inlineStr"/>
      <c r="O64" s="27" t="inlineStr"/>
      <c r="P64" s="27" t="inlineStr"/>
      <c r="Q64" s="27" t="inlineStr"/>
      <c r="R64" s="26" t="inlineStr">
        <is>
          <t>[DEMO]</t>
        </is>
      </c>
    </row>
    <row r="65">
      <c r="A65" s="25" t="n">
        <v>63</v>
      </c>
      <c r="B65" s="25" t="inlineStr">
        <is>
          <t>163d CAV, C Troop</t>
        </is>
      </c>
      <c r="C65" s="25" t="inlineStr">
        <is>
          <t>W4MMMC</t>
        </is>
      </c>
      <c r="D65" s="25" t="inlineStr">
        <is>
          <t>Miles City</t>
        </is>
      </c>
      <c r="E65" s="25" t="inlineStr">
        <is>
          <t>Troop CDR, C Troop</t>
        </is>
      </c>
      <c r="F65" s="25" t="inlineStr">
        <is>
          <t>O3</t>
        </is>
      </c>
      <c r="G65" s="25" t="inlineStr">
        <is>
          <t>Officer</t>
        </is>
      </c>
      <c r="H65" s="25" t="inlineStr">
        <is>
          <t>19A</t>
        </is>
      </c>
      <c r="I65" s="25" t="inlineStr">
        <is>
          <t>AR</t>
        </is>
      </c>
      <c r="J65" s="25" t="inlineStr">
        <is>
          <t>Command</t>
        </is>
      </c>
      <c r="K65" s="25" t="inlineStr">
        <is>
          <t>Yes</t>
        </is>
      </c>
      <c r="L65" s="25" t="inlineStr">
        <is>
          <t>M-Day</t>
        </is>
      </c>
      <c r="M65" s="25" t="inlineStr">
        <is>
          <t>Filled</t>
        </is>
      </c>
      <c r="N65" s="25" t="inlineStr">
        <is>
          <t>2027-08-01</t>
        </is>
      </c>
      <c r="O65" s="25" t="inlineStr"/>
      <c r="P65" s="25" t="inlineStr"/>
      <c r="Q65" s="25" t="inlineStr"/>
      <c r="R65" s="26" t="inlineStr">
        <is>
          <t>[DEMO]</t>
        </is>
      </c>
    </row>
    <row r="66">
      <c r="A66" s="27" t="n">
        <v>64</v>
      </c>
      <c r="B66" s="27" t="inlineStr">
        <is>
          <t>1-189th IN BN, D Co</t>
        </is>
      </c>
      <c r="C66" s="27" t="inlineStr">
        <is>
          <t>W4MMDI</t>
        </is>
      </c>
      <c r="D66" s="27" t="inlineStr">
        <is>
          <t>Dillon</t>
        </is>
      </c>
      <c r="E66" s="27" t="inlineStr">
        <is>
          <t>Rifle SGT</t>
        </is>
      </c>
      <c r="F66" s="27" t="inlineStr">
        <is>
          <t>E5</t>
        </is>
      </c>
      <c r="G66" s="27" t="inlineStr">
        <is>
          <t>Enlisted</t>
        </is>
      </c>
      <c r="H66" s="27" t="inlineStr">
        <is>
          <t>11B</t>
        </is>
      </c>
      <c r="I66" s="27" t="inlineStr">
        <is>
          <t>IN</t>
        </is>
      </c>
      <c r="J66" s="27" t="inlineStr">
        <is>
          <t>Leadership</t>
        </is>
      </c>
      <c r="K66" s="27" t="inlineStr">
        <is>
          <t>No</t>
        </is>
      </c>
      <c r="L66" s="27" t="inlineStr">
        <is>
          <t>M-Day</t>
        </is>
      </c>
      <c r="M66" s="27" t="inlineStr">
        <is>
          <t>Filled</t>
        </is>
      </c>
      <c r="N66" s="27" t="inlineStr"/>
      <c r="O66" s="27" t="inlineStr"/>
      <c r="P66" s="27" t="inlineStr"/>
      <c r="Q66" s="27" t="inlineStr"/>
      <c r="R66" s="26" t="inlineStr">
        <is>
          <t>[DEMO]</t>
        </is>
      </c>
    </row>
    <row r="67">
      <c r="A67" s="25" t="n">
        <v>65</v>
      </c>
      <c r="B67" s="25" t="inlineStr">
        <is>
          <t>1-189th IN BN, D Co</t>
        </is>
      </c>
      <c r="C67" s="25" t="inlineStr">
        <is>
          <t>W4MMDI</t>
        </is>
      </c>
      <c r="D67" s="25" t="inlineStr">
        <is>
          <t>Dillon</t>
        </is>
      </c>
      <c r="E67" s="25" t="inlineStr">
        <is>
          <t>Squad Leader</t>
        </is>
      </c>
      <c r="F67" s="25" t="inlineStr">
        <is>
          <t>E6</t>
        </is>
      </c>
      <c r="G67" s="25" t="inlineStr">
        <is>
          <t>Enlisted</t>
        </is>
      </c>
      <c r="H67" s="25" t="inlineStr">
        <is>
          <t>11B</t>
        </is>
      </c>
      <c r="I67" s="25" t="inlineStr">
        <is>
          <t>IN</t>
        </is>
      </c>
      <c r="J67" s="25" t="inlineStr">
        <is>
          <t>Leadership</t>
        </is>
      </c>
      <c r="K67" s="25" t="inlineStr">
        <is>
          <t>Yes</t>
        </is>
      </c>
      <c r="L67" s="25" t="inlineStr">
        <is>
          <t>M-Day</t>
        </is>
      </c>
      <c r="M67" s="25" t="inlineStr">
        <is>
          <t>Vacant</t>
        </is>
      </c>
      <c r="N67" s="25" t="inlineStr">
        <is>
          <t>2026-10-01</t>
        </is>
      </c>
      <c r="O67" s="25" t="inlineStr"/>
      <c r="P67" s="25" t="inlineStr"/>
      <c r="Q67" s="25" t="inlineStr"/>
      <c r="R67" s="26" t="inlineStr">
        <is>
          <t>[DEMO]</t>
        </is>
      </c>
    </row>
    <row r="68">
      <c r="A68" s="27" t="n">
        <v>66</v>
      </c>
      <c r="B68" s="27" t="inlineStr">
        <is>
          <t>1-189th IN BN, D Co</t>
        </is>
      </c>
      <c r="C68" s="27" t="inlineStr">
        <is>
          <t>W4MMDI</t>
        </is>
      </c>
      <c r="D68" s="27" t="inlineStr">
        <is>
          <t>Dillon</t>
        </is>
      </c>
      <c r="E68" s="27" t="inlineStr">
        <is>
          <t>1SG, D Co</t>
        </is>
      </c>
      <c r="F68" s="27" t="inlineStr">
        <is>
          <t>E8</t>
        </is>
      </c>
      <c r="G68" s="27" t="inlineStr">
        <is>
          <t>Enlisted</t>
        </is>
      </c>
      <c r="H68" s="27" t="inlineStr">
        <is>
          <t>11B</t>
        </is>
      </c>
      <c r="I68" s="27" t="inlineStr">
        <is>
          <t>IN</t>
        </is>
      </c>
      <c r="J68" s="27" t="inlineStr">
        <is>
          <t>Command</t>
        </is>
      </c>
      <c r="K68" s="27" t="inlineStr">
        <is>
          <t>Yes</t>
        </is>
      </c>
      <c r="L68" s="27" t="inlineStr">
        <is>
          <t>M-Day</t>
        </is>
      </c>
      <c r="M68" s="27" t="inlineStr">
        <is>
          <t>Filled</t>
        </is>
      </c>
      <c r="N68" s="27" t="inlineStr"/>
      <c r="O68" s="27" t="inlineStr"/>
      <c r="P68" s="27" t="inlineStr"/>
      <c r="Q68" s="27" t="inlineStr"/>
      <c r="R68" s="26" t="inlineStr">
        <is>
          <t>[DEMO]</t>
        </is>
      </c>
    </row>
    <row r="69">
      <c r="A69" s="25" t="n">
        <v>67</v>
      </c>
      <c r="B69" s="25" t="inlineStr">
        <is>
          <t>1-189th IN BN, D Co</t>
        </is>
      </c>
      <c r="C69" s="25" t="inlineStr">
        <is>
          <t>W4MMDI</t>
        </is>
      </c>
      <c r="D69" s="25" t="inlineStr">
        <is>
          <t>Dillon</t>
        </is>
      </c>
      <c r="E69" s="25" t="inlineStr">
        <is>
          <t>CDR, D Co</t>
        </is>
      </c>
      <c r="F69" s="25" t="inlineStr">
        <is>
          <t>O3</t>
        </is>
      </c>
      <c r="G69" s="25" t="inlineStr">
        <is>
          <t>Officer</t>
        </is>
      </c>
      <c r="H69" s="25" t="inlineStr">
        <is>
          <t>11A</t>
        </is>
      </c>
      <c r="I69" s="25" t="inlineStr">
        <is>
          <t>IN</t>
        </is>
      </c>
      <c r="J69" s="25" t="inlineStr">
        <is>
          <t>Command</t>
        </is>
      </c>
      <c r="K69" s="25" t="inlineStr">
        <is>
          <t>Yes</t>
        </is>
      </c>
      <c r="L69" s="25" t="inlineStr">
        <is>
          <t>M-Day</t>
        </is>
      </c>
      <c r="M69" s="25" t="inlineStr">
        <is>
          <t>Filled</t>
        </is>
      </c>
      <c r="N69" s="25" t="inlineStr">
        <is>
          <t>2028-01-01</t>
        </is>
      </c>
      <c r="O69" s="25" t="inlineStr"/>
      <c r="P69" s="25" t="inlineStr"/>
      <c r="Q69" s="25" t="inlineStr"/>
      <c r="R69" s="26" t="inlineStr">
        <is>
          <t>[DEMO]</t>
        </is>
      </c>
    </row>
    <row r="70">
      <c r="A70" s="27" t="n">
        <v>68</v>
      </c>
      <c r="B70" s="27" t="inlineStr">
        <is>
          <t>163d CAV, D Troop</t>
        </is>
      </c>
      <c r="C70" s="27" t="inlineStr">
        <is>
          <t>W4MMHV</t>
        </is>
      </c>
      <c r="D70" s="27" t="inlineStr">
        <is>
          <t>Havre</t>
        </is>
      </c>
      <c r="E70" s="27" t="inlineStr">
        <is>
          <t>Scout</t>
        </is>
      </c>
      <c r="F70" s="27" t="inlineStr">
        <is>
          <t>E4</t>
        </is>
      </c>
      <c r="G70" s="27" t="inlineStr">
        <is>
          <t>Enlisted</t>
        </is>
      </c>
      <c r="H70" s="27" t="inlineStr">
        <is>
          <t>19D</t>
        </is>
      </c>
      <c r="I70" s="27" t="inlineStr">
        <is>
          <t>AR</t>
        </is>
      </c>
      <c r="J70" s="27" t="inlineStr">
        <is>
          <t>Technical</t>
        </is>
      </c>
      <c r="K70" s="27" t="inlineStr">
        <is>
          <t>No</t>
        </is>
      </c>
      <c r="L70" s="27" t="inlineStr">
        <is>
          <t>M-Day</t>
        </is>
      </c>
      <c r="M70" s="27" t="inlineStr">
        <is>
          <t>Vacant</t>
        </is>
      </c>
      <c r="N70" s="27" t="inlineStr"/>
      <c r="O70" s="27" t="inlineStr"/>
      <c r="P70" s="27" t="inlineStr"/>
      <c r="Q70" s="27" t="inlineStr"/>
      <c r="R70" s="26" t="inlineStr">
        <is>
          <t>[DEMO]</t>
        </is>
      </c>
    </row>
    <row r="71">
      <c r="A71" s="25" t="n">
        <v>69</v>
      </c>
      <c r="B71" s="25" t="inlineStr">
        <is>
          <t>163d CAV, D Troop</t>
        </is>
      </c>
      <c r="C71" s="25" t="inlineStr">
        <is>
          <t>W4MMHV</t>
        </is>
      </c>
      <c r="D71" s="25" t="inlineStr">
        <is>
          <t>Havre</t>
        </is>
      </c>
      <c r="E71" s="25" t="inlineStr">
        <is>
          <t>Scout SGT</t>
        </is>
      </c>
      <c r="F71" s="25" t="inlineStr">
        <is>
          <t>E5</t>
        </is>
      </c>
      <c r="G71" s="25" t="inlineStr">
        <is>
          <t>Enlisted</t>
        </is>
      </c>
      <c r="H71" s="25" t="inlineStr">
        <is>
          <t>19D</t>
        </is>
      </c>
      <c r="I71" s="25" t="inlineStr">
        <is>
          <t>AR</t>
        </is>
      </c>
      <c r="J71" s="25" t="inlineStr">
        <is>
          <t>Leadership</t>
        </is>
      </c>
      <c r="K71" s="25" t="inlineStr">
        <is>
          <t>No</t>
        </is>
      </c>
      <c r="L71" s="25" t="inlineStr">
        <is>
          <t>M-Day</t>
        </is>
      </c>
      <c r="M71" s="25" t="inlineStr">
        <is>
          <t>Filled</t>
        </is>
      </c>
      <c r="N71" s="25" t="inlineStr"/>
      <c r="O71" s="25" t="inlineStr"/>
      <c r="P71" s="25" t="inlineStr"/>
      <c r="Q71" s="25" t="inlineStr"/>
      <c r="R71" s="26" t="inlineStr">
        <is>
          <t>[DEMO]</t>
        </is>
      </c>
    </row>
    <row r="72">
      <c r="A72" s="27" t="n">
        <v>70</v>
      </c>
      <c r="B72" s="27" t="inlineStr">
        <is>
          <t>163d CAV, D Troop</t>
        </is>
      </c>
      <c r="C72" s="27" t="inlineStr">
        <is>
          <t>W4MMHV</t>
        </is>
      </c>
      <c r="D72" s="27" t="inlineStr">
        <is>
          <t>Havre</t>
        </is>
      </c>
      <c r="E72" s="27" t="inlineStr">
        <is>
          <t>Supply SGT</t>
        </is>
      </c>
      <c r="F72" s="27" t="inlineStr">
        <is>
          <t>E6</t>
        </is>
      </c>
      <c r="G72" s="27" t="inlineStr">
        <is>
          <t>Enlisted</t>
        </is>
      </c>
      <c r="H72" s="27" t="inlineStr">
        <is>
          <t>92Y</t>
        </is>
      </c>
      <c r="I72" s="27" t="inlineStr">
        <is>
          <t>LG</t>
        </is>
      </c>
      <c r="J72" s="27" t="inlineStr">
        <is>
          <t>Technical</t>
        </is>
      </c>
      <c r="K72" s="27" t="inlineStr">
        <is>
          <t>No</t>
        </is>
      </c>
      <c r="L72" s="27" t="inlineStr">
        <is>
          <t>M-Day</t>
        </is>
      </c>
      <c r="M72" s="27" t="inlineStr">
        <is>
          <t>Filled</t>
        </is>
      </c>
      <c r="N72" s="27" t="inlineStr"/>
      <c r="O72" s="27" t="inlineStr"/>
      <c r="P72" s="27" t="inlineStr"/>
      <c r="Q72" s="27" t="inlineStr"/>
      <c r="R72" s="26" t="inlineStr">
        <is>
          <t>[DEMO]</t>
        </is>
      </c>
    </row>
    <row r="73">
      <c r="A73" s="25" t="n">
        <v>71</v>
      </c>
      <c r="B73" s="25" t="inlineStr">
        <is>
          <t>163d CAV, D Troop</t>
        </is>
      </c>
      <c r="C73" s="25" t="inlineStr">
        <is>
          <t>W4MMHV</t>
        </is>
      </c>
      <c r="D73" s="25" t="inlineStr">
        <is>
          <t>Havre</t>
        </is>
      </c>
      <c r="E73" s="25" t="inlineStr">
        <is>
          <t>1SG, D Troop</t>
        </is>
      </c>
      <c r="F73" s="25" t="inlineStr">
        <is>
          <t>E8</t>
        </is>
      </c>
      <c r="G73" s="25" t="inlineStr">
        <is>
          <t>Enlisted</t>
        </is>
      </c>
      <c r="H73" s="25" t="inlineStr">
        <is>
          <t>19D</t>
        </is>
      </c>
      <c r="I73" s="25" t="inlineStr">
        <is>
          <t>AR</t>
        </is>
      </c>
      <c r="J73" s="25" t="inlineStr">
        <is>
          <t>Command</t>
        </is>
      </c>
      <c r="K73" s="25" t="inlineStr">
        <is>
          <t>Yes</t>
        </is>
      </c>
      <c r="L73" s="25" t="inlineStr">
        <is>
          <t>M-Day</t>
        </is>
      </c>
      <c r="M73" s="25" t="inlineStr">
        <is>
          <t>Filled</t>
        </is>
      </c>
      <c r="N73" s="25" t="inlineStr">
        <is>
          <t>2028-06-01</t>
        </is>
      </c>
      <c r="O73" s="25" t="inlineStr"/>
      <c r="P73" s="25" t="inlineStr"/>
      <c r="Q73" s="25" t="inlineStr"/>
      <c r="R73" s="26" t="inlineStr">
        <is>
          <t>[DEMO]</t>
        </is>
      </c>
    </row>
    <row r="74">
      <c r="A74" s="27" t="n">
        <v>72</v>
      </c>
      <c r="B74" s="27" t="inlineStr">
        <is>
          <t>163d CAV, D Troop</t>
        </is>
      </c>
      <c r="C74" s="27" t="inlineStr">
        <is>
          <t>W4MMHV</t>
        </is>
      </c>
      <c r="D74" s="27" t="inlineStr">
        <is>
          <t>Havre</t>
        </is>
      </c>
      <c r="E74" s="27" t="inlineStr">
        <is>
          <t>Troop CDR, D Troop</t>
        </is>
      </c>
      <c r="F74" s="27" t="inlineStr">
        <is>
          <t>O3</t>
        </is>
      </c>
      <c r="G74" s="27" t="inlineStr">
        <is>
          <t>Officer</t>
        </is>
      </c>
      <c r="H74" s="27" t="inlineStr">
        <is>
          <t>19A</t>
        </is>
      </c>
      <c r="I74" s="27" t="inlineStr">
        <is>
          <t>AR</t>
        </is>
      </c>
      <c r="J74" s="27" t="inlineStr">
        <is>
          <t>Command</t>
        </is>
      </c>
      <c r="K74" s="27" t="inlineStr">
        <is>
          <t>Yes</t>
        </is>
      </c>
      <c r="L74" s="27" t="inlineStr">
        <is>
          <t>M-Day</t>
        </is>
      </c>
      <c r="M74" s="27" t="inlineStr">
        <is>
          <t>Filled</t>
        </is>
      </c>
      <c r="N74" s="27" t="inlineStr"/>
      <c r="O74" s="27" t="inlineStr"/>
      <c r="P74" s="27" t="inlineStr"/>
      <c r="Q74" s="27" t="inlineStr"/>
      <c r="R74" s="26" t="inlineStr">
        <is>
          <t>[DEMO]</t>
        </is>
      </c>
    </row>
    <row r="75">
      <c r="A75" s="25" t="n">
        <v>73</v>
      </c>
      <c r="B75" s="25" t="inlineStr">
        <is>
          <t>MTARNG JFHQ Med Det</t>
        </is>
      </c>
      <c r="C75" s="25" t="inlineStr">
        <is>
          <t>W4MHMD</t>
        </is>
      </c>
      <c r="D75" s="25" t="inlineStr">
        <is>
          <t>Helena</t>
        </is>
      </c>
      <c r="E75" s="25" t="inlineStr">
        <is>
          <t>Physician Assistant PA</t>
        </is>
      </c>
      <c r="F75" s="25" t="inlineStr">
        <is>
          <t>O3</t>
        </is>
      </c>
      <c r="G75" s="25" t="inlineStr">
        <is>
          <t>Officer</t>
        </is>
      </c>
      <c r="H75" s="25" t="inlineStr">
        <is>
          <t>67D</t>
        </is>
      </c>
      <c r="I75" s="25" t="inlineStr">
        <is>
          <t>MC</t>
        </is>
      </c>
      <c r="J75" s="25" t="inlineStr">
        <is>
          <t>Technical</t>
        </is>
      </c>
      <c r="K75" s="25" t="inlineStr">
        <is>
          <t>No</t>
        </is>
      </c>
      <c r="L75" s="25" t="inlineStr">
        <is>
          <t>AGR</t>
        </is>
      </c>
      <c r="M75" s="25" t="inlineStr">
        <is>
          <t>Vacant</t>
        </is>
      </c>
      <c r="N75" s="25" t="inlineStr"/>
      <c r="O75" s="25" t="inlineStr"/>
      <c r="P75" s="25" t="inlineStr"/>
      <c r="Q75" s="25" t="inlineStr"/>
      <c r="R75" s="26" t="inlineStr">
        <is>
          <t>[DEMO]</t>
        </is>
      </c>
    </row>
    <row r="76">
      <c r="A76" s="27" t="n">
        <v>74</v>
      </c>
      <c r="B76" s="27" t="inlineStr">
        <is>
          <t>MTARNG JFHQ Med Det</t>
        </is>
      </c>
      <c r="C76" s="27" t="inlineStr">
        <is>
          <t>W4MHMD</t>
        </is>
      </c>
      <c r="D76" s="27" t="inlineStr">
        <is>
          <t>Helena</t>
        </is>
      </c>
      <c r="E76" s="27" t="inlineStr">
        <is>
          <t>Medical SGT</t>
        </is>
      </c>
      <c r="F76" s="27" t="inlineStr">
        <is>
          <t>E7</t>
        </is>
      </c>
      <c r="G76" s="27" t="inlineStr">
        <is>
          <t>Enlisted</t>
        </is>
      </c>
      <c r="H76" s="27" t="inlineStr">
        <is>
          <t>68W</t>
        </is>
      </c>
      <c r="I76" s="27" t="inlineStr">
        <is>
          <t>MC</t>
        </is>
      </c>
      <c r="J76" s="27" t="inlineStr">
        <is>
          <t>Technical</t>
        </is>
      </c>
      <c r="K76" s="27" t="inlineStr">
        <is>
          <t>No</t>
        </is>
      </c>
      <c r="L76" s="27" t="inlineStr">
        <is>
          <t>AGR</t>
        </is>
      </c>
      <c r="M76" s="27" t="inlineStr">
        <is>
          <t>Filled</t>
        </is>
      </c>
      <c r="N76" s="27" t="inlineStr"/>
      <c r="O76" s="27" t="inlineStr"/>
      <c r="P76" s="27" t="inlineStr"/>
      <c r="Q76" s="27" t="inlineStr"/>
      <c r="R76" s="26" t="inlineStr">
        <is>
          <t>[DEMO]</t>
        </is>
      </c>
    </row>
    <row r="77">
      <c r="A77" s="25" t="n">
        <v>75</v>
      </c>
      <c r="B77" s="25" t="inlineStr">
        <is>
          <t>MTARNG JFHQ</t>
        </is>
      </c>
      <c r="C77" s="25" t="inlineStr">
        <is>
          <t>W4M001</t>
        </is>
      </c>
      <c r="D77" s="25" t="inlineStr">
        <is>
          <t>Helena</t>
        </is>
      </c>
      <c r="E77" s="25" t="inlineStr">
        <is>
          <t>PAO NCO</t>
        </is>
      </c>
      <c r="F77" s="25" t="inlineStr">
        <is>
          <t>E6</t>
        </is>
      </c>
      <c r="G77" s="25" t="inlineStr">
        <is>
          <t>Enlisted</t>
        </is>
      </c>
      <c r="H77" s="25" t="inlineStr">
        <is>
          <t>46Z</t>
        </is>
      </c>
      <c r="I77" s="25" t="inlineStr">
        <is>
          <t>PA</t>
        </is>
      </c>
      <c r="J77" s="25" t="inlineStr">
        <is>
          <t>Staff</t>
        </is>
      </c>
      <c r="K77" s="25" t="inlineStr">
        <is>
          <t>No</t>
        </is>
      </c>
      <c r="L77" s="25" t="inlineStr">
        <is>
          <t>AGR</t>
        </is>
      </c>
      <c r="M77" s="25" t="inlineStr">
        <is>
          <t>Filled</t>
        </is>
      </c>
      <c r="N77" s="25" t="inlineStr"/>
      <c r="O77" s="25" t="inlineStr"/>
      <c r="P77" s="25" t="inlineStr"/>
      <c r="Q77" s="25" t="inlineStr"/>
      <c r="R77" s="26" t="inlineStr">
        <is>
          <t>[DEMO]</t>
        </is>
      </c>
    </row>
    <row r="78">
      <c r="A78" s="27" t="n">
        <v>76</v>
      </c>
      <c r="B78" s="27" t="inlineStr">
        <is>
          <t>MTARNG Aviation</t>
        </is>
      </c>
      <c r="C78" s="27" t="inlineStr">
        <is>
          <t>W4MMAV</t>
        </is>
      </c>
      <c r="D78" s="27" t="inlineStr">
        <is>
          <t>Helena</t>
        </is>
      </c>
      <c r="E78" s="27" t="inlineStr">
        <is>
          <t>UH-60 Pilot</t>
        </is>
      </c>
      <c r="F78" s="27" t="inlineStr">
        <is>
          <t>W2</t>
        </is>
      </c>
      <c r="G78" s="27" t="inlineStr">
        <is>
          <t>Warrant</t>
        </is>
      </c>
      <c r="H78" s="27" t="inlineStr">
        <is>
          <t>153A</t>
        </is>
      </c>
      <c r="I78" s="27" t="inlineStr">
        <is>
          <t>AV</t>
        </is>
      </c>
      <c r="J78" s="27" t="inlineStr">
        <is>
          <t>Technical</t>
        </is>
      </c>
      <c r="K78" s="27" t="inlineStr">
        <is>
          <t>No</t>
        </is>
      </c>
      <c r="L78" s="27" t="inlineStr">
        <is>
          <t>M-Day</t>
        </is>
      </c>
      <c r="M78" s="27" t="inlineStr">
        <is>
          <t>Vacant</t>
        </is>
      </c>
      <c r="N78" s="27" t="inlineStr"/>
      <c r="O78" s="27" t="inlineStr"/>
      <c r="P78" s="27" t="inlineStr"/>
      <c r="Q78" s="27" t="inlineStr">
        <is>
          <t>IERW required</t>
        </is>
      </c>
      <c r="R78" s="26" t="inlineStr">
        <is>
          <t>[DEMO]</t>
        </is>
      </c>
    </row>
    <row r="79">
      <c r="A79" s="25" t="n">
        <v>77</v>
      </c>
      <c r="B79" s="25" t="inlineStr">
        <is>
          <t>MTARNG Aviation</t>
        </is>
      </c>
      <c r="C79" s="25" t="inlineStr">
        <is>
          <t>W4MMAV</t>
        </is>
      </c>
      <c r="D79" s="25" t="inlineStr">
        <is>
          <t>Helena</t>
        </is>
      </c>
      <c r="E79" s="25" t="inlineStr">
        <is>
          <t>UH-60 Pilot / PC</t>
        </is>
      </c>
      <c r="F79" s="25" t="inlineStr">
        <is>
          <t>W3</t>
        </is>
      </c>
      <c r="G79" s="25" t="inlineStr">
        <is>
          <t>Warrant</t>
        </is>
      </c>
      <c r="H79" s="25" t="inlineStr">
        <is>
          <t>153D</t>
        </is>
      </c>
      <c r="I79" s="25" t="inlineStr">
        <is>
          <t>AV</t>
        </is>
      </c>
      <c r="J79" s="25" t="inlineStr">
        <is>
          <t>Technical</t>
        </is>
      </c>
      <c r="K79" s="25" t="inlineStr">
        <is>
          <t>No</t>
        </is>
      </c>
      <c r="L79" s="25" t="inlineStr">
        <is>
          <t>M-Day</t>
        </is>
      </c>
      <c r="M79" s="25" t="inlineStr">
        <is>
          <t>Filled</t>
        </is>
      </c>
      <c r="N79" s="25" t="inlineStr"/>
      <c r="O79" s="25" t="inlineStr"/>
      <c r="P79" s="25" t="inlineStr"/>
      <c r="Q79" s="25" t="inlineStr"/>
      <c r="R79" s="26" t="inlineStr">
        <is>
          <t>[DEMO]</t>
        </is>
      </c>
    </row>
    <row r="80">
      <c r="A80" s="27" t="n">
        <v>78</v>
      </c>
      <c r="B80" s="27" t="inlineStr">
        <is>
          <t>MTARNG Aviation</t>
        </is>
      </c>
      <c r="C80" s="27" t="inlineStr">
        <is>
          <t>W4MMAV</t>
        </is>
      </c>
      <c r="D80" s="27" t="inlineStr">
        <is>
          <t>Helena</t>
        </is>
      </c>
      <c r="E80" s="27" t="inlineStr">
        <is>
          <t>Aviation CDR</t>
        </is>
      </c>
      <c r="F80" s="27" t="inlineStr">
        <is>
          <t>O4</t>
        </is>
      </c>
      <c r="G80" s="27" t="inlineStr">
        <is>
          <t>Officer</t>
        </is>
      </c>
      <c r="H80" s="27" t="inlineStr">
        <is>
          <t>15A</t>
        </is>
      </c>
      <c r="I80" s="27" t="inlineStr">
        <is>
          <t>AV</t>
        </is>
      </c>
      <c r="J80" s="27" t="inlineStr">
        <is>
          <t>Command</t>
        </is>
      </c>
      <c r="K80" s="27" t="inlineStr">
        <is>
          <t>Yes</t>
        </is>
      </c>
      <c r="L80" s="27" t="inlineStr">
        <is>
          <t>M-Day</t>
        </is>
      </c>
      <c r="M80" s="27" t="inlineStr">
        <is>
          <t>Filled</t>
        </is>
      </c>
      <c r="N80" s="27" t="inlineStr">
        <is>
          <t>2028-01-01</t>
        </is>
      </c>
      <c r="O80" s="27" t="inlineStr"/>
      <c r="P80" s="27" t="inlineStr"/>
      <c r="Q80" s="27" t="inlineStr"/>
      <c r="R80" s="26" t="inlineStr">
        <is>
          <t>[DEMO]</t>
        </is>
      </c>
    </row>
    <row r="81">
      <c r="A81" s="25" t="n">
        <v>79</v>
      </c>
      <c r="B81" s="25" t="inlineStr">
        <is>
          <t>MTARNG Recruiting &amp; Ret</t>
        </is>
      </c>
      <c r="C81" s="25" t="inlineStr">
        <is>
          <t>W4MMRR</t>
        </is>
      </c>
      <c r="D81" s="25" t="inlineStr">
        <is>
          <t>Helena</t>
        </is>
      </c>
      <c r="E81" s="25" t="inlineStr">
        <is>
          <t>Retention NCO</t>
        </is>
      </c>
      <c r="F81" s="25" t="inlineStr">
        <is>
          <t>E7</t>
        </is>
      </c>
      <c r="G81" s="25" t="inlineStr">
        <is>
          <t>Enlisted</t>
        </is>
      </c>
      <c r="H81" s="25" t="inlineStr">
        <is>
          <t>79S</t>
        </is>
      </c>
      <c r="I81" s="25" t="inlineStr">
        <is>
          <t>AG</t>
        </is>
      </c>
      <c r="J81" s="25" t="inlineStr">
        <is>
          <t>Staff</t>
        </is>
      </c>
      <c r="K81" s="25" t="inlineStr">
        <is>
          <t>No</t>
        </is>
      </c>
      <c r="L81" s="25" t="inlineStr">
        <is>
          <t>AGR</t>
        </is>
      </c>
      <c r="M81" s="25" t="inlineStr">
        <is>
          <t>Vacant</t>
        </is>
      </c>
      <c r="N81" s="25" t="inlineStr"/>
      <c r="O81" s="25" t="inlineStr"/>
      <c r="P81" s="25" t="inlineStr"/>
      <c r="Q81" s="25" t="inlineStr">
        <is>
          <t>Statewide travel req</t>
        </is>
      </c>
      <c r="R81" s="26" t="inlineStr">
        <is>
          <t>[DEMO]</t>
        </is>
      </c>
    </row>
    <row r="82">
      <c r="A82" s="27" t="n">
        <v>80</v>
      </c>
      <c r="B82" s="27" t="inlineStr">
        <is>
          <t>MTARNG Recruiting &amp; Ret</t>
        </is>
      </c>
      <c r="C82" s="27" t="inlineStr">
        <is>
          <t>W4MMRR</t>
        </is>
      </c>
      <c r="D82" s="27" t="inlineStr">
        <is>
          <t>Helena</t>
        </is>
      </c>
      <c r="E82" s="27" t="inlineStr">
        <is>
          <t>Senior Retention NCO</t>
        </is>
      </c>
      <c r="F82" s="27" t="inlineStr">
        <is>
          <t>E8</t>
        </is>
      </c>
      <c r="G82" s="27" t="inlineStr">
        <is>
          <t>Enlisted</t>
        </is>
      </c>
      <c r="H82" s="27" t="inlineStr">
        <is>
          <t>79S</t>
        </is>
      </c>
      <c r="I82" s="27" t="inlineStr">
        <is>
          <t>AG</t>
        </is>
      </c>
      <c r="J82" s="27" t="inlineStr">
        <is>
          <t>Staff</t>
        </is>
      </c>
      <c r="K82" s="27" t="inlineStr">
        <is>
          <t>No</t>
        </is>
      </c>
      <c r="L82" s="27" t="inlineStr">
        <is>
          <t>AGR</t>
        </is>
      </c>
      <c r="M82" s="27" t="inlineStr">
        <is>
          <t>Filled</t>
        </is>
      </c>
      <c r="N82" s="27" t="inlineStr"/>
      <c r="O82" s="27" t="inlineStr"/>
      <c r="P82" s="27" t="inlineStr"/>
      <c r="Q82" s="27" t="inlineStr"/>
      <c r="R82" s="26" t="inlineStr">
        <is>
          <t>[DEMO]</t>
        </is>
      </c>
    </row>
  </sheetData>
  <autoFilter ref="A2:R82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F4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0" customWidth="1" min="5" max="5"/>
    <col width="10" customWidth="1" min="6" max="6"/>
  </cols>
  <sheetData>
    <row r="1" ht="20" customHeight="1">
      <c r="A1" s="23" t="inlineStr">
        <is>
          <t>⚠ ADMIN SHEET — MONTANA CITY DRIVE TIME &amp; DISTANCE MATRIX | Verify against Google Maps / OSRM before operational use</t>
        </is>
      </c>
    </row>
    <row r="2" ht="25" customHeight="1">
      <c r="A2" s="24" t="inlineStr">
        <is>
          <t>From City</t>
        </is>
      </c>
      <c r="B2" s="24" t="inlineStr">
        <is>
          <t>To City</t>
        </is>
      </c>
      <c r="C2" s="24" t="inlineStr">
        <is>
          <t>Miles (One Way)</t>
        </is>
      </c>
      <c r="D2" s="24" t="inlineStr">
        <is>
          <t>Drive Time (hrs:min)</t>
        </is>
      </c>
      <c r="E2" s="24" t="inlineStr">
        <is>
          <t>Route Notes</t>
        </is>
      </c>
      <c r="F2" s="24" t="inlineStr">
        <is>
          <t>DEMO FLAG</t>
        </is>
      </c>
    </row>
    <row r="3">
      <c r="A3" s="25" t="inlineStr">
        <is>
          <t>Billings</t>
        </is>
      </c>
      <c r="B3" s="25" t="inlineStr">
        <is>
          <t>Bozeman</t>
        </is>
      </c>
      <c r="C3" s="28" t="n">
        <v>144</v>
      </c>
      <c r="D3" s="28" t="inlineStr">
        <is>
          <t>2:10</t>
        </is>
      </c>
      <c r="E3" s="25" t="inlineStr">
        <is>
          <t>I-90 W</t>
        </is>
      </c>
      <c r="F3" s="26" t="inlineStr">
        <is>
          <t>[DEMO]</t>
        </is>
      </c>
    </row>
    <row r="4">
      <c r="A4" s="27" t="inlineStr">
        <is>
          <t>Billings</t>
        </is>
      </c>
      <c r="B4" s="27" t="inlineStr">
        <is>
          <t>Butte</t>
        </is>
      </c>
      <c r="C4" s="29" t="n">
        <v>223</v>
      </c>
      <c r="D4" s="29" t="inlineStr">
        <is>
          <t>3:10</t>
        </is>
      </c>
      <c r="E4" s="27" t="inlineStr">
        <is>
          <t>I-90 W</t>
        </is>
      </c>
      <c r="F4" s="26" t="inlineStr">
        <is>
          <t>[DEMO]</t>
        </is>
      </c>
    </row>
    <row r="5">
      <c r="A5" s="25" t="inlineStr">
        <is>
          <t>Billings</t>
        </is>
      </c>
      <c r="B5" s="25" t="inlineStr">
        <is>
          <t>Helena</t>
        </is>
      </c>
      <c r="C5" s="28" t="n">
        <v>221</v>
      </c>
      <c r="D5" s="28" t="inlineStr">
        <is>
          <t>3:05</t>
        </is>
      </c>
      <c r="E5" s="25" t="inlineStr">
        <is>
          <t>I-90 W / US-12 W</t>
        </is>
      </c>
      <c r="F5" s="26" t="inlineStr">
        <is>
          <t>[DEMO]</t>
        </is>
      </c>
    </row>
    <row r="6">
      <c r="A6" s="27" t="inlineStr">
        <is>
          <t>Billings</t>
        </is>
      </c>
      <c r="B6" s="27" t="inlineStr">
        <is>
          <t>Great Falls</t>
        </is>
      </c>
      <c r="C6" s="29" t="n">
        <v>225</v>
      </c>
      <c r="D6" s="29" t="inlineStr">
        <is>
          <t>3:15</t>
        </is>
      </c>
      <c r="E6" s="27" t="inlineStr">
        <is>
          <t>US-87 N</t>
        </is>
      </c>
      <c r="F6" s="26" t="inlineStr">
        <is>
          <t>[DEMO]</t>
        </is>
      </c>
    </row>
    <row r="7">
      <c r="A7" s="25" t="inlineStr">
        <is>
          <t>Billings</t>
        </is>
      </c>
      <c r="B7" s="25" t="inlineStr">
        <is>
          <t>Missoula</t>
        </is>
      </c>
      <c r="C7" s="28" t="n">
        <v>344</v>
      </c>
      <c r="D7" s="28" t="inlineStr">
        <is>
          <t>4:45</t>
        </is>
      </c>
      <c r="E7" s="25" t="inlineStr">
        <is>
          <t>I-90 W</t>
        </is>
      </c>
      <c r="F7" s="26" t="inlineStr">
        <is>
          <t>[DEMO]</t>
        </is>
      </c>
    </row>
    <row r="8">
      <c r="A8" s="27" t="inlineStr">
        <is>
          <t>Billings</t>
        </is>
      </c>
      <c r="B8" s="27" t="inlineStr">
        <is>
          <t>Kalispell</t>
        </is>
      </c>
      <c r="C8" s="29" t="n">
        <v>449</v>
      </c>
      <c r="D8" s="29" t="inlineStr">
        <is>
          <t>6:10</t>
        </is>
      </c>
      <c r="E8" s="27" t="inlineStr">
        <is>
          <t>I-90 W / US-93 N</t>
        </is>
      </c>
      <c r="F8" s="26" t="inlineStr">
        <is>
          <t>[DEMO]</t>
        </is>
      </c>
    </row>
    <row r="9">
      <c r="A9" s="25" t="inlineStr">
        <is>
          <t>Billings</t>
        </is>
      </c>
      <c r="B9" s="25" t="inlineStr">
        <is>
          <t>Miles City</t>
        </is>
      </c>
      <c r="C9" s="28" t="n">
        <v>141</v>
      </c>
      <c r="D9" s="28" t="inlineStr">
        <is>
          <t>2:05</t>
        </is>
      </c>
      <c r="E9" s="25" t="inlineStr">
        <is>
          <t>I-94 E</t>
        </is>
      </c>
      <c r="F9" s="26" t="inlineStr">
        <is>
          <t>[DEMO]</t>
        </is>
      </c>
    </row>
    <row r="10">
      <c r="A10" s="27" t="inlineStr">
        <is>
          <t>Billings</t>
        </is>
      </c>
      <c r="B10" s="27" t="inlineStr">
        <is>
          <t>Dillon</t>
        </is>
      </c>
      <c r="C10" s="29" t="n">
        <v>302</v>
      </c>
      <c r="D10" s="29" t="inlineStr">
        <is>
          <t>4:15</t>
        </is>
      </c>
      <c r="E10" s="27" t="inlineStr">
        <is>
          <t>I-90 W / I-15 S</t>
        </is>
      </c>
      <c r="F10" s="26" t="inlineStr">
        <is>
          <t>[DEMO]</t>
        </is>
      </c>
    </row>
    <row r="11">
      <c r="A11" s="25" t="inlineStr">
        <is>
          <t>Billings</t>
        </is>
      </c>
      <c r="B11" s="25" t="inlineStr">
        <is>
          <t>Havre</t>
        </is>
      </c>
      <c r="C11" s="28" t="n">
        <v>231</v>
      </c>
      <c r="D11" s="28" t="inlineStr">
        <is>
          <t>3:20</t>
        </is>
      </c>
      <c r="E11" s="25" t="inlineStr">
        <is>
          <t>US-87 N</t>
        </is>
      </c>
      <c r="F11" s="26" t="inlineStr">
        <is>
          <t>[DEMO]</t>
        </is>
      </c>
    </row>
    <row r="12">
      <c r="A12" s="27" t="inlineStr">
        <is>
          <t>Billings</t>
        </is>
      </c>
      <c r="B12" s="27" t="inlineStr">
        <is>
          <t>Lewistown</t>
        </is>
      </c>
      <c r="C12" s="29" t="n">
        <v>126</v>
      </c>
      <c r="D12" s="29" t="inlineStr">
        <is>
          <t>1:55</t>
        </is>
      </c>
      <c r="E12" s="27" t="inlineStr">
        <is>
          <t>US-87 N</t>
        </is>
      </c>
      <c r="F12" s="26" t="inlineStr">
        <is>
          <t>[DEMO]</t>
        </is>
      </c>
    </row>
    <row r="13">
      <c r="A13" s="25" t="inlineStr">
        <is>
          <t>Billings</t>
        </is>
      </c>
      <c r="B13" s="25" t="inlineStr">
        <is>
          <t>Livingston</t>
        </is>
      </c>
      <c r="C13" s="28" t="n">
        <v>115</v>
      </c>
      <c r="D13" s="28" t="inlineStr">
        <is>
          <t>1:40</t>
        </is>
      </c>
      <c r="E13" s="25" t="inlineStr">
        <is>
          <t>I-90 W</t>
        </is>
      </c>
      <c r="F13" s="26" t="inlineStr">
        <is>
          <t>[DEMO]</t>
        </is>
      </c>
    </row>
    <row r="14">
      <c r="A14" s="27" t="inlineStr">
        <is>
          <t>Billings</t>
        </is>
      </c>
      <c r="B14" s="27" t="inlineStr">
        <is>
          <t>Glendive</t>
        </is>
      </c>
      <c r="C14" s="29" t="n">
        <v>213</v>
      </c>
      <c r="D14" s="29" t="inlineStr">
        <is>
          <t>3:00</t>
        </is>
      </c>
      <c r="E14" s="27" t="inlineStr">
        <is>
          <t>I-94 E</t>
        </is>
      </c>
      <c r="F14" s="26" t="inlineStr">
        <is>
          <t>[DEMO]</t>
        </is>
      </c>
    </row>
    <row r="15">
      <c r="A15" s="25" t="inlineStr">
        <is>
          <t>Bozeman</t>
        </is>
      </c>
      <c r="B15" s="25" t="inlineStr">
        <is>
          <t>Helena</t>
        </is>
      </c>
      <c r="C15" s="28" t="n">
        <v>95</v>
      </c>
      <c r="D15" s="28" t="inlineStr">
        <is>
          <t>1:20</t>
        </is>
      </c>
      <c r="E15" s="25" t="inlineStr">
        <is>
          <t>I-90 W / US-12 W</t>
        </is>
      </c>
      <c r="F15" s="26" t="inlineStr">
        <is>
          <t>[DEMO]</t>
        </is>
      </c>
    </row>
    <row r="16">
      <c r="A16" s="27" t="inlineStr">
        <is>
          <t>Bozeman</t>
        </is>
      </c>
      <c r="B16" s="27" t="inlineStr">
        <is>
          <t>Butte</t>
        </is>
      </c>
      <c r="C16" s="29" t="n">
        <v>82</v>
      </c>
      <c r="D16" s="29" t="inlineStr">
        <is>
          <t>1:10</t>
        </is>
      </c>
      <c r="E16" s="27" t="inlineStr">
        <is>
          <t>I-90 W</t>
        </is>
      </c>
      <c r="F16" s="26" t="inlineStr">
        <is>
          <t>[DEMO]</t>
        </is>
      </c>
    </row>
    <row r="17">
      <c r="A17" s="25" t="inlineStr">
        <is>
          <t>Bozeman</t>
        </is>
      </c>
      <c r="B17" s="25" t="inlineStr">
        <is>
          <t>Missoula</t>
        </is>
      </c>
      <c r="C17" s="28" t="n">
        <v>199</v>
      </c>
      <c r="D17" s="28" t="inlineStr">
        <is>
          <t>2:45</t>
        </is>
      </c>
      <c r="E17" s="25" t="inlineStr">
        <is>
          <t>I-90 W</t>
        </is>
      </c>
      <c r="F17" s="26" t="inlineStr">
        <is>
          <t>[DEMO]</t>
        </is>
      </c>
    </row>
    <row r="18">
      <c r="A18" s="27" t="inlineStr">
        <is>
          <t>Bozeman</t>
        </is>
      </c>
      <c r="B18" s="27" t="inlineStr">
        <is>
          <t>Great Falls</t>
        </is>
      </c>
      <c r="C18" s="29" t="n">
        <v>225</v>
      </c>
      <c r="D18" s="29" t="inlineStr">
        <is>
          <t>3:15</t>
        </is>
      </c>
      <c r="E18" s="27" t="inlineStr">
        <is>
          <t>US-89 N</t>
        </is>
      </c>
      <c r="F18" s="26" t="inlineStr">
        <is>
          <t>[DEMO]</t>
        </is>
      </c>
    </row>
    <row r="19">
      <c r="A19" s="25" t="inlineStr">
        <is>
          <t>Bozeman</t>
        </is>
      </c>
      <c r="B19" s="25" t="inlineStr">
        <is>
          <t>Kalispell</t>
        </is>
      </c>
      <c r="C19" s="28" t="n">
        <v>303</v>
      </c>
      <c r="D19" s="28" t="inlineStr">
        <is>
          <t>4:15</t>
        </is>
      </c>
      <c r="E19" s="25" t="inlineStr">
        <is>
          <t>I-90 W / US-93 N</t>
        </is>
      </c>
      <c r="F19" s="26" t="inlineStr">
        <is>
          <t>[DEMO]</t>
        </is>
      </c>
    </row>
    <row r="20">
      <c r="A20" s="27" t="inlineStr">
        <is>
          <t>Bozeman</t>
        </is>
      </c>
      <c r="B20" s="27" t="inlineStr">
        <is>
          <t>Dillon</t>
        </is>
      </c>
      <c r="C20" s="29" t="n">
        <v>157</v>
      </c>
      <c r="D20" s="29" t="inlineStr">
        <is>
          <t>2:15</t>
        </is>
      </c>
      <c r="E20" s="27" t="inlineStr">
        <is>
          <t>I-90 W / I-15 S</t>
        </is>
      </c>
      <c r="F20" s="26" t="inlineStr">
        <is>
          <t>[DEMO]</t>
        </is>
      </c>
    </row>
    <row r="21">
      <c r="A21" s="25" t="inlineStr">
        <is>
          <t>Bozeman</t>
        </is>
      </c>
      <c r="B21" s="25" t="inlineStr">
        <is>
          <t>Miles City</t>
        </is>
      </c>
      <c r="C21" s="28" t="n">
        <v>285</v>
      </c>
      <c r="D21" s="28" t="inlineStr">
        <is>
          <t>4:00</t>
        </is>
      </c>
      <c r="E21" s="25" t="inlineStr">
        <is>
          <t>I-90 E</t>
        </is>
      </c>
      <c r="F21" s="26" t="inlineStr">
        <is>
          <t>[DEMO]</t>
        </is>
      </c>
    </row>
    <row r="22">
      <c r="A22" s="27" t="inlineStr">
        <is>
          <t>Bozeman</t>
        </is>
      </c>
      <c r="B22" s="27" t="inlineStr">
        <is>
          <t>Livingston</t>
        </is>
      </c>
      <c r="C22" s="29" t="n">
        <v>26</v>
      </c>
      <c r="D22" s="29" t="inlineStr">
        <is>
          <t>0:25</t>
        </is>
      </c>
      <c r="E22" s="27" t="inlineStr">
        <is>
          <t>I-90 E</t>
        </is>
      </c>
      <c r="F22" s="26" t="inlineStr">
        <is>
          <t>[DEMO]</t>
        </is>
      </c>
    </row>
    <row r="23">
      <c r="A23" s="25" t="inlineStr">
        <is>
          <t>Helena</t>
        </is>
      </c>
      <c r="B23" s="25" t="inlineStr">
        <is>
          <t>Great Falls</t>
        </is>
      </c>
      <c r="C23" s="28" t="n">
        <v>91</v>
      </c>
      <c r="D23" s="28" t="inlineStr">
        <is>
          <t>1:10</t>
        </is>
      </c>
      <c r="E23" s="25" t="inlineStr">
        <is>
          <t>I-15 N</t>
        </is>
      </c>
      <c r="F23" s="26" t="inlineStr">
        <is>
          <t>[DEMO]</t>
        </is>
      </c>
    </row>
    <row r="24">
      <c r="A24" s="27" t="inlineStr">
        <is>
          <t>Helena</t>
        </is>
      </c>
      <c r="B24" s="27" t="inlineStr">
        <is>
          <t>Missoula</t>
        </is>
      </c>
      <c r="C24" s="29" t="n">
        <v>113</v>
      </c>
      <c r="D24" s="29" t="inlineStr">
        <is>
          <t>1:35</t>
        </is>
      </c>
      <c r="E24" s="27" t="inlineStr">
        <is>
          <t>I-90 W</t>
        </is>
      </c>
      <c r="F24" s="26" t="inlineStr">
        <is>
          <t>[DEMO]</t>
        </is>
      </c>
    </row>
    <row r="25">
      <c r="A25" s="25" t="inlineStr">
        <is>
          <t>Helena</t>
        </is>
      </c>
      <c r="B25" s="25" t="inlineStr">
        <is>
          <t>Butte</t>
        </is>
      </c>
      <c r="C25" s="28" t="n">
        <v>65</v>
      </c>
      <c r="D25" s="28" t="inlineStr">
        <is>
          <t>0:55</t>
        </is>
      </c>
      <c r="E25" s="25" t="inlineStr">
        <is>
          <t>I-15 S</t>
        </is>
      </c>
      <c r="F25" s="26" t="inlineStr">
        <is>
          <t>[DEMO]</t>
        </is>
      </c>
    </row>
    <row r="26">
      <c r="A26" s="27" t="inlineStr">
        <is>
          <t>Helena</t>
        </is>
      </c>
      <c r="B26" s="27" t="inlineStr">
        <is>
          <t>Kalispell</t>
        </is>
      </c>
      <c r="C26" s="29" t="n">
        <v>217</v>
      </c>
      <c r="D26" s="29" t="inlineStr">
        <is>
          <t>3:00</t>
        </is>
      </c>
      <c r="E26" s="27" t="inlineStr">
        <is>
          <t>US-93 N</t>
        </is>
      </c>
      <c r="F26" s="26" t="inlineStr">
        <is>
          <t>[DEMO]</t>
        </is>
      </c>
    </row>
    <row r="27">
      <c r="A27" s="25" t="inlineStr">
        <is>
          <t>Helena</t>
        </is>
      </c>
      <c r="B27" s="25" t="inlineStr">
        <is>
          <t>Dillon</t>
        </is>
      </c>
      <c r="C27" s="28" t="n">
        <v>124</v>
      </c>
      <c r="D27" s="28" t="inlineStr">
        <is>
          <t>1:50</t>
        </is>
      </c>
      <c r="E27" s="25" t="inlineStr">
        <is>
          <t>I-15 S</t>
        </is>
      </c>
      <c r="F27" s="26" t="inlineStr">
        <is>
          <t>[DEMO]</t>
        </is>
      </c>
    </row>
    <row r="28">
      <c r="A28" s="27" t="inlineStr">
        <is>
          <t>Helena</t>
        </is>
      </c>
      <c r="B28" s="27" t="inlineStr">
        <is>
          <t>Havre</t>
        </is>
      </c>
      <c r="C28" s="29" t="n">
        <v>183</v>
      </c>
      <c r="D28" s="29" t="inlineStr">
        <is>
          <t>2:35</t>
        </is>
      </c>
      <c r="E28" s="27" t="inlineStr">
        <is>
          <t>US-89 N</t>
        </is>
      </c>
      <c r="F28" s="26" t="inlineStr">
        <is>
          <t>[DEMO]</t>
        </is>
      </c>
    </row>
    <row r="29">
      <c r="A29" s="25" t="inlineStr">
        <is>
          <t>Great Falls</t>
        </is>
      </c>
      <c r="B29" s="25" t="inlineStr">
        <is>
          <t>Havre</t>
        </is>
      </c>
      <c r="C29" s="28" t="n">
        <v>115</v>
      </c>
      <c r="D29" s="28" t="inlineStr">
        <is>
          <t>1:35</t>
        </is>
      </c>
      <c r="E29" s="25" t="inlineStr">
        <is>
          <t>US-87 N</t>
        </is>
      </c>
      <c r="F29" s="26" t="inlineStr">
        <is>
          <t>[DEMO]</t>
        </is>
      </c>
    </row>
    <row r="30">
      <c r="A30" s="27" t="inlineStr">
        <is>
          <t>Great Falls</t>
        </is>
      </c>
      <c r="B30" s="27" t="inlineStr">
        <is>
          <t>Lewistown</t>
        </is>
      </c>
      <c r="C30" s="29" t="n">
        <v>105</v>
      </c>
      <c r="D30" s="29" t="inlineStr">
        <is>
          <t>1:30</t>
        </is>
      </c>
      <c r="E30" s="27" t="inlineStr">
        <is>
          <t>US-87 E</t>
        </is>
      </c>
      <c r="F30" s="26" t="inlineStr">
        <is>
          <t>[DEMO]</t>
        </is>
      </c>
    </row>
    <row r="31">
      <c r="A31" s="25" t="inlineStr">
        <is>
          <t>Great Falls</t>
        </is>
      </c>
      <c r="B31" s="25" t="inlineStr">
        <is>
          <t>Missoula</t>
        </is>
      </c>
      <c r="C31" s="28" t="n">
        <v>198</v>
      </c>
      <c r="D31" s="28" t="inlineStr">
        <is>
          <t>2:45</t>
        </is>
      </c>
      <c r="E31" s="25" t="inlineStr">
        <is>
          <t>US-89 S / I-90 W</t>
        </is>
      </c>
      <c r="F31" s="26" t="inlineStr">
        <is>
          <t>[DEMO]</t>
        </is>
      </c>
    </row>
    <row r="32">
      <c r="A32" s="27" t="inlineStr">
        <is>
          <t>Great Falls</t>
        </is>
      </c>
      <c r="B32" s="27" t="inlineStr">
        <is>
          <t>Kalispell</t>
        </is>
      </c>
      <c r="C32" s="29" t="n">
        <v>222</v>
      </c>
      <c r="D32" s="29" t="inlineStr">
        <is>
          <t>3:00</t>
        </is>
      </c>
      <c r="E32" s="27" t="inlineStr">
        <is>
          <t>US-89 N</t>
        </is>
      </c>
      <c r="F32" s="26" t="inlineStr">
        <is>
          <t>[DEMO]</t>
        </is>
      </c>
    </row>
    <row r="33">
      <c r="A33" s="25" t="inlineStr">
        <is>
          <t>Missoula</t>
        </is>
      </c>
      <c r="B33" s="25" t="inlineStr">
        <is>
          <t>Kalispell</t>
        </is>
      </c>
      <c r="C33" s="28" t="n">
        <v>118</v>
      </c>
      <c r="D33" s="28" t="inlineStr">
        <is>
          <t>1:40</t>
        </is>
      </c>
      <c r="E33" s="25" t="inlineStr">
        <is>
          <t>US-93 N</t>
        </is>
      </c>
      <c r="F33" s="26" t="inlineStr">
        <is>
          <t>[DEMO]</t>
        </is>
      </c>
    </row>
    <row r="34">
      <c r="A34" s="27" t="inlineStr">
        <is>
          <t>Missoula</t>
        </is>
      </c>
      <c r="B34" s="27" t="inlineStr">
        <is>
          <t>Butte</t>
        </is>
      </c>
      <c r="C34" s="29" t="n">
        <v>129</v>
      </c>
      <c r="D34" s="29" t="inlineStr">
        <is>
          <t>1:50</t>
        </is>
      </c>
      <c r="E34" s="27" t="inlineStr">
        <is>
          <t>I-90 E</t>
        </is>
      </c>
      <c r="F34" s="26" t="inlineStr">
        <is>
          <t>[DEMO]</t>
        </is>
      </c>
    </row>
    <row r="35">
      <c r="A35" s="25" t="inlineStr">
        <is>
          <t>Missoula</t>
        </is>
      </c>
      <c r="B35" s="25" t="inlineStr">
        <is>
          <t>Dillon</t>
        </is>
      </c>
      <c r="C35" s="28" t="n">
        <v>189</v>
      </c>
      <c r="D35" s="28" t="inlineStr">
        <is>
          <t>2:40</t>
        </is>
      </c>
      <c r="E35" s="25" t="inlineStr">
        <is>
          <t>I-90 E / I-15 S</t>
        </is>
      </c>
      <c r="F35" s="26" t="inlineStr">
        <is>
          <t>[DEMO]</t>
        </is>
      </c>
    </row>
    <row r="36">
      <c r="A36" s="27" t="inlineStr">
        <is>
          <t>Kalispell</t>
        </is>
      </c>
      <c r="B36" s="27" t="inlineStr">
        <is>
          <t>Whitefish</t>
        </is>
      </c>
      <c r="C36" s="29" t="n">
        <v>16</v>
      </c>
      <c r="D36" s="29" t="inlineStr">
        <is>
          <t>0:20</t>
        </is>
      </c>
      <c r="E36" s="27" t="inlineStr">
        <is>
          <t>US-93 N</t>
        </is>
      </c>
      <c r="F36" s="26" t="inlineStr">
        <is>
          <t>[DEMO]</t>
        </is>
      </c>
    </row>
    <row r="37">
      <c r="A37" s="25" t="inlineStr">
        <is>
          <t>Miles City</t>
        </is>
      </c>
      <c r="B37" s="25" t="inlineStr">
        <is>
          <t>Glendive</t>
        </is>
      </c>
      <c r="C37" s="28" t="n">
        <v>72</v>
      </c>
      <c r="D37" s="28" t="inlineStr">
        <is>
          <t>1:00</t>
        </is>
      </c>
      <c r="E37" s="25" t="inlineStr">
        <is>
          <t>I-94 E</t>
        </is>
      </c>
      <c r="F37" s="26" t="inlineStr">
        <is>
          <t>[DEMO]</t>
        </is>
      </c>
    </row>
    <row r="38">
      <c r="A38" s="27" t="inlineStr">
        <is>
          <t>Miles City</t>
        </is>
      </c>
      <c r="B38" s="27" t="inlineStr">
        <is>
          <t>Havre</t>
        </is>
      </c>
      <c r="C38" s="29" t="n">
        <v>291</v>
      </c>
      <c r="D38" s="29" t="inlineStr">
        <is>
          <t>4:05</t>
        </is>
      </c>
      <c r="E38" s="27" t="inlineStr">
        <is>
          <t>US-12 W / US-87 N</t>
        </is>
      </c>
      <c r="F38" s="26" t="inlineStr">
        <is>
          <t>[DEMO]</t>
        </is>
      </c>
    </row>
    <row r="39">
      <c r="A39" s="25" t="inlineStr">
        <is>
          <t>Dillon</t>
        </is>
      </c>
      <c r="B39" s="25" t="inlineStr">
        <is>
          <t>Butte</t>
        </is>
      </c>
      <c r="C39" s="28" t="n">
        <v>63</v>
      </c>
      <c r="D39" s="28" t="inlineStr">
        <is>
          <t>0:55</t>
        </is>
      </c>
      <c r="E39" s="25" t="inlineStr">
        <is>
          <t>I-15 N</t>
        </is>
      </c>
      <c r="F39" s="26" t="inlineStr">
        <is>
          <t>[DEMO]</t>
        </is>
      </c>
    </row>
    <row r="40">
      <c r="A40" s="27" t="inlineStr">
        <is>
          <t>Butte</t>
        </is>
      </c>
      <c r="B40" s="27" t="inlineStr">
        <is>
          <t>Anaconda</t>
        </is>
      </c>
      <c r="C40" s="29" t="n">
        <v>25</v>
      </c>
      <c r="D40" s="29" t="inlineStr">
        <is>
          <t>0:30</t>
        </is>
      </c>
      <c r="E40" s="27" t="inlineStr">
        <is>
          <t>MT-1</t>
        </is>
      </c>
      <c r="F40" s="26" t="inlineStr">
        <is>
          <t>[DEMO]</t>
        </is>
      </c>
    </row>
    <row r="41">
      <c r="A41" s="25" t="inlineStr">
        <is>
          <t>Havre</t>
        </is>
      </c>
      <c r="B41" s="25" t="inlineStr">
        <is>
          <t>Lewistown</t>
        </is>
      </c>
      <c r="C41" s="28" t="n">
        <v>127</v>
      </c>
      <c r="D41" s="28" t="inlineStr">
        <is>
          <t>1:50</t>
        </is>
      </c>
      <c r="E41" s="25" t="inlineStr">
        <is>
          <t>US-87 S</t>
        </is>
      </c>
      <c r="F41" s="26" t="inlineStr">
        <is>
          <t>[DEMO]</t>
        </is>
      </c>
    </row>
    <row r="42">
      <c r="A42" s="27" t="inlineStr">
        <is>
          <t>Havre</t>
        </is>
      </c>
      <c r="B42" s="27" t="inlineStr">
        <is>
          <t>Glasgow</t>
        </is>
      </c>
      <c r="C42" s="29" t="n">
        <v>171</v>
      </c>
      <c r="D42" s="29" t="inlineStr">
        <is>
          <t>2:25</t>
        </is>
      </c>
      <c r="E42" s="27" t="inlineStr">
        <is>
          <t>US-2 E</t>
        </is>
      </c>
      <c r="F42" s="26" t="inlineStr">
        <is>
          <t>[DEMO]</t>
        </is>
      </c>
    </row>
    <row r="43">
      <c r="A43" s="25" t="inlineStr">
        <is>
          <t>Glasgow</t>
        </is>
      </c>
      <c r="B43" s="25" t="inlineStr">
        <is>
          <t>Wolf Point</t>
        </is>
      </c>
      <c r="C43" s="28" t="n">
        <v>49</v>
      </c>
      <c r="D43" s="28" t="inlineStr">
        <is>
          <t>0:40</t>
        </is>
      </c>
      <c r="E43" s="25" t="inlineStr">
        <is>
          <t>US-2 E</t>
        </is>
      </c>
      <c r="F43" s="26" t="inlineStr">
        <is>
          <t>[DEMO]</t>
        </is>
      </c>
    </row>
    <row r="44">
      <c r="A44" s="27" t="inlineStr">
        <is>
          <t>Great Falls</t>
        </is>
      </c>
      <c r="B44" s="27" t="inlineStr">
        <is>
          <t>Glasgow</t>
        </is>
      </c>
      <c r="C44" s="29" t="n">
        <v>228</v>
      </c>
      <c r="D44" s="29" t="inlineStr">
        <is>
          <t>3:10</t>
        </is>
      </c>
      <c r="E44" s="27" t="inlineStr">
        <is>
          <t>US-2 E</t>
        </is>
      </c>
      <c r="F44" s="26" t="inlineStr">
        <is>
          <t>[DEMO]</t>
        </is>
      </c>
    </row>
  </sheetData>
  <autoFilter ref="A2:F44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2" customWidth="1" min="4" max="4"/>
    <col width="20" customWidth="1" min="5" max="5"/>
    <col width="18" customWidth="1" min="6" max="6"/>
    <col width="16" customWidth="1" min="7" max="7"/>
    <col width="30" customWidth="1" min="8" max="8"/>
    <col width="40" customWidth="1" min="9" max="9"/>
    <col width="10" customWidth="1" min="10" max="10"/>
  </cols>
  <sheetData>
    <row r="1" ht="20" customHeight="1">
      <c r="A1" s="23" t="inlineStr">
        <is>
          <t>⚠ ADMIN SHEET — PME &amp; SCHOOL REQUIREMENTS | Update as AR 350-1 / ARNG policy changes</t>
        </is>
      </c>
    </row>
    <row r="2" ht="25" customHeight="1">
      <c r="A2" s="24" t="inlineStr">
        <is>
          <t>Career Cat</t>
        </is>
      </c>
      <c r="B2" s="24" t="inlineStr">
        <is>
          <t>Grade</t>
        </is>
      </c>
      <c r="C2" s="24" t="inlineStr">
        <is>
          <t>PME / Course</t>
        </is>
      </c>
      <c r="D2" s="24" t="inlineStr">
        <is>
          <t>Course Code</t>
        </is>
      </c>
      <c r="E2" s="24" t="inlineStr">
        <is>
          <t>Required or Recommended</t>
        </is>
      </c>
      <c r="F2" s="24" t="inlineStr">
        <is>
          <t>Prerequisite</t>
        </is>
      </c>
      <c r="G2" s="24" t="inlineStr">
        <is>
          <t>Duration</t>
        </is>
      </c>
      <c r="H2" s="24" t="inlineStr">
        <is>
          <t>Where Taught</t>
        </is>
      </c>
      <c r="I2" s="24" t="inlineStr">
        <is>
          <t>Notes</t>
        </is>
      </c>
      <c r="J2" s="24" t="inlineStr">
        <is>
          <t>DEMO FLAG</t>
        </is>
      </c>
    </row>
    <row r="3">
      <c r="A3" s="25" t="inlineStr">
        <is>
          <t>Enlisted</t>
        </is>
      </c>
      <c r="B3" s="25" t="inlineStr">
        <is>
          <t>E4-E5</t>
        </is>
      </c>
      <c r="C3" s="25" t="inlineStr">
        <is>
          <t>Basic Leader Course (BLC)</t>
        </is>
      </c>
      <c r="D3" s="25" t="inlineStr">
        <is>
          <t>BLC</t>
        </is>
      </c>
      <c r="E3" s="25" t="inlineStr">
        <is>
          <t>Required for E5 promotion</t>
        </is>
      </c>
      <c r="F3" s="25" t="inlineStr">
        <is>
          <t>SSD1 complete</t>
        </is>
      </c>
      <c r="G3" s="25" t="inlineStr">
        <is>
          <t>3 weeks</t>
        </is>
      </c>
      <c r="H3" s="25" t="inlineStr">
        <is>
          <t>Regional NCO Academy</t>
        </is>
      </c>
      <c r="I3" s="25" t="inlineStr">
        <is>
          <t>Must complete before SPC-SGT promotion board</t>
        </is>
      </c>
      <c r="J3" s="26" t="inlineStr">
        <is>
          <t>[DEMO]</t>
        </is>
      </c>
    </row>
    <row r="4">
      <c r="A4" s="30" t="inlineStr">
        <is>
          <t>Enlisted</t>
        </is>
      </c>
      <c r="B4" s="30" t="inlineStr">
        <is>
          <t>E5-E6</t>
        </is>
      </c>
      <c r="C4" s="30" t="inlineStr">
        <is>
          <t>Advanced Leader Course (ALC)</t>
        </is>
      </c>
      <c r="D4" s="30" t="inlineStr">
        <is>
          <t>ALC</t>
        </is>
      </c>
      <c r="E4" s="30" t="inlineStr">
        <is>
          <t>Required for E6 promotion</t>
        </is>
      </c>
      <c r="F4" s="30" t="inlineStr">
        <is>
          <t>BLC complete</t>
        </is>
      </c>
      <c r="G4" s="30" t="inlineStr">
        <is>
          <t>4 weeks</t>
        </is>
      </c>
      <c r="H4" s="30" t="inlineStr">
        <is>
          <t>Regional NCO Academy</t>
        </is>
      </c>
      <c r="I4" s="30" t="inlineStr">
        <is>
          <t>Selectee attendance within 1 year of board selection</t>
        </is>
      </c>
      <c r="J4" s="26" t="inlineStr">
        <is>
          <t>[DEMO]</t>
        </is>
      </c>
    </row>
    <row r="5">
      <c r="A5" s="25" t="inlineStr">
        <is>
          <t>Enlisted</t>
        </is>
      </c>
      <c r="B5" s="25" t="inlineStr">
        <is>
          <t>E6-E7</t>
        </is>
      </c>
      <c r="C5" s="25" t="inlineStr">
        <is>
          <t>Senior Leader Course (SLC)</t>
        </is>
      </c>
      <c r="D5" s="25" t="inlineStr">
        <is>
          <t>SLC</t>
        </is>
      </c>
      <c r="E5" s="25" t="inlineStr">
        <is>
          <t>Required for E7 promotion</t>
        </is>
      </c>
      <c r="F5" s="25" t="inlineStr">
        <is>
          <t>ALC complete</t>
        </is>
      </c>
      <c r="G5" s="25" t="inlineStr">
        <is>
          <t>6 weeks</t>
        </is>
      </c>
      <c r="H5" s="25" t="inlineStr">
        <is>
          <t>Sergeant Major Academy (USASMA)</t>
        </is>
      </c>
      <c r="I5" s="25" t="inlineStr">
        <is>
          <t>Competitive attendance; centrally managed</t>
        </is>
      </c>
      <c r="J5" s="26" t="inlineStr">
        <is>
          <t>[DEMO]</t>
        </is>
      </c>
    </row>
    <row r="6">
      <c r="A6" s="30" t="inlineStr">
        <is>
          <t>Enlisted</t>
        </is>
      </c>
      <c r="B6" s="30" t="inlineStr">
        <is>
          <t>E8-E9</t>
        </is>
      </c>
      <c r="C6" s="30" t="inlineStr">
        <is>
          <t>Sergeant Major Course (SMC)</t>
        </is>
      </c>
      <c r="D6" s="30" t="inlineStr">
        <is>
          <t>SMC</t>
        </is>
      </c>
      <c r="E6" s="30" t="inlineStr">
        <is>
          <t>Required for CSM selection</t>
        </is>
      </c>
      <c r="F6" s="30" t="inlineStr">
        <is>
          <t>SLC complete</t>
        </is>
      </c>
      <c r="G6" s="30" t="inlineStr">
        <is>
          <t>10 months</t>
        </is>
      </c>
      <c r="H6" s="30" t="inlineStr">
        <is>
          <t>USASMA Fort Bliss TX</t>
        </is>
      </c>
      <c r="I6" s="30" t="inlineStr">
        <is>
          <t>Highly competitive; CSM prerequisite</t>
        </is>
      </c>
      <c r="J6" s="26" t="inlineStr">
        <is>
          <t>[DEMO]</t>
        </is>
      </c>
    </row>
    <row r="7">
      <c r="A7" s="25" t="inlineStr">
        <is>
          <t>Enlisted</t>
        </is>
      </c>
      <c r="B7" s="25" t="inlineStr">
        <is>
          <t>E5+</t>
        </is>
      </c>
      <c r="C7" s="25" t="inlineStr">
        <is>
          <t>Structured Self Development 1 (SSD1)</t>
        </is>
      </c>
      <c r="D7" s="25" t="inlineStr">
        <is>
          <t>SSD1</t>
        </is>
      </c>
      <c r="E7" s="25" t="inlineStr">
        <is>
          <t>Required for BLC attendance</t>
        </is>
      </c>
      <c r="F7" s="25" t="inlineStr">
        <is>
          <t>None</t>
        </is>
      </c>
      <c r="G7" s="25" t="inlineStr">
        <is>
          <t>Online</t>
        </is>
      </c>
      <c r="H7" s="25" t="inlineStr">
        <is>
          <t>AKO / Army e-Learning</t>
        </is>
      </c>
      <c r="I7" s="25" t="inlineStr">
        <is>
          <t>Complete prior to BLC registration</t>
        </is>
      </c>
      <c r="J7" s="26" t="inlineStr">
        <is>
          <t>[DEMO]</t>
        </is>
      </c>
    </row>
    <row r="8">
      <c r="A8" s="30" t="inlineStr">
        <is>
          <t>Enlisted</t>
        </is>
      </c>
      <c r="B8" s="30" t="inlineStr">
        <is>
          <t>E5+</t>
        </is>
      </c>
      <c r="C8" s="30" t="inlineStr">
        <is>
          <t>Structured Self Development 2 (SSD2)</t>
        </is>
      </c>
      <c r="D8" s="30" t="inlineStr">
        <is>
          <t>SSD2</t>
        </is>
      </c>
      <c r="E8" s="30" t="inlineStr">
        <is>
          <t>Required for ALC attendance</t>
        </is>
      </c>
      <c r="F8" s="30" t="inlineStr">
        <is>
          <t>BLC + SSD1</t>
        </is>
      </c>
      <c r="G8" s="30" t="inlineStr">
        <is>
          <t>Online</t>
        </is>
      </c>
      <c r="H8" s="30" t="inlineStr">
        <is>
          <t>AKO / Army e-Learning</t>
        </is>
      </c>
      <c r="I8" s="30" t="inlineStr"/>
      <c r="J8" s="26" t="inlineStr">
        <is>
          <t>[DEMO]</t>
        </is>
      </c>
    </row>
    <row r="9">
      <c r="A9" s="25" t="inlineStr">
        <is>
          <t>Warrant</t>
        </is>
      </c>
      <c r="B9" s="25" t="inlineStr">
        <is>
          <t>W1</t>
        </is>
      </c>
      <c r="C9" s="25" t="inlineStr">
        <is>
          <t>Warrant Officer Basic Course (WOBC)</t>
        </is>
      </c>
      <c r="D9" s="25" t="inlineStr">
        <is>
          <t>WOBC</t>
        </is>
      </c>
      <c r="E9" s="25" t="inlineStr">
        <is>
          <t>Required after appointment</t>
        </is>
      </c>
      <c r="F9" s="25" t="inlineStr">
        <is>
          <t>CW1 appointment</t>
        </is>
      </c>
      <c r="G9" s="25" t="inlineStr">
        <is>
          <t>3–6 months (MOS dependent)</t>
        </is>
      </c>
      <c r="H9" s="25" t="inlineStr">
        <is>
          <t>MOS branch school</t>
        </is>
      </c>
      <c r="I9" s="25" t="inlineStr">
        <is>
          <t>Complete within 24 months of appointment</t>
        </is>
      </c>
      <c r="J9" s="26" t="inlineStr">
        <is>
          <t>[DEMO]</t>
        </is>
      </c>
    </row>
    <row r="10">
      <c r="A10" s="30" t="inlineStr">
        <is>
          <t>Warrant</t>
        </is>
      </c>
      <c r="B10" s="30" t="inlineStr">
        <is>
          <t>W2-W3</t>
        </is>
      </c>
      <c r="C10" s="30" t="inlineStr">
        <is>
          <t>Warrant Officer Advanced Course (WOAC)</t>
        </is>
      </c>
      <c r="D10" s="30" t="inlineStr">
        <is>
          <t>WOAC</t>
        </is>
      </c>
      <c r="E10" s="30" t="inlineStr">
        <is>
          <t>Required for CW3 promotion</t>
        </is>
      </c>
      <c r="F10" s="30" t="inlineStr">
        <is>
          <t>WOBC complete</t>
        </is>
      </c>
      <c r="G10" s="30" t="inlineStr">
        <is>
          <t>3 weeks</t>
        </is>
      </c>
      <c r="H10" s="30" t="inlineStr">
        <is>
          <t>MOS branch school</t>
        </is>
      </c>
      <c r="I10" s="30" t="inlineStr">
        <is>
          <t>Competitive; centrally managed</t>
        </is>
      </c>
      <c r="J10" s="26" t="inlineStr">
        <is>
          <t>[DEMO]</t>
        </is>
      </c>
    </row>
    <row r="11">
      <c r="A11" s="25" t="inlineStr">
        <is>
          <t>Warrant</t>
        </is>
      </c>
      <c r="B11" s="25" t="inlineStr">
        <is>
          <t>W3-W4</t>
        </is>
      </c>
      <c r="C11" s="25" t="inlineStr">
        <is>
          <t>Warrant Officer Intermediate Level Education (WOILE)</t>
        </is>
      </c>
      <c r="D11" s="25" t="inlineStr">
        <is>
          <t>WOILE</t>
        </is>
      </c>
      <c r="E11" s="25" t="inlineStr">
        <is>
          <t>Required for CW4 promotion</t>
        </is>
      </c>
      <c r="F11" s="25" t="inlineStr">
        <is>
          <t>WOAC complete</t>
        </is>
      </c>
      <c r="G11" s="25" t="inlineStr">
        <is>
          <t>3 weeks</t>
        </is>
      </c>
      <c r="H11" s="25" t="inlineStr">
        <is>
          <t>Ft Leavenworth or DL</t>
        </is>
      </c>
      <c r="I11" s="25" t="inlineStr"/>
      <c r="J11" s="26" t="inlineStr">
        <is>
          <t>[DEMO]</t>
        </is>
      </c>
    </row>
    <row r="12">
      <c r="A12" s="30" t="inlineStr">
        <is>
          <t>Warrant</t>
        </is>
      </c>
      <c r="B12" s="30" t="inlineStr">
        <is>
          <t>W4-W5</t>
        </is>
      </c>
      <c r="C12" s="30" t="inlineStr">
        <is>
          <t>Warrant Officer Senior Service Education (WOSSE)</t>
        </is>
      </c>
      <c r="D12" s="30" t="inlineStr">
        <is>
          <t>WOSSE</t>
        </is>
      </c>
      <c r="E12" s="30" t="inlineStr">
        <is>
          <t>Required for CW5 selection</t>
        </is>
      </c>
      <c r="F12" s="30" t="inlineStr">
        <is>
          <t>WOILE complete</t>
        </is>
      </c>
      <c r="G12" s="30" t="inlineStr">
        <is>
          <t>2 weeks</t>
        </is>
      </c>
      <c r="H12" s="30" t="inlineStr">
        <is>
          <t>Various</t>
        </is>
      </c>
      <c r="I12" s="30" t="inlineStr">
        <is>
          <t>Seminar-based</t>
        </is>
      </c>
      <c r="J12" s="26" t="inlineStr">
        <is>
          <t>[DEMO]</t>
        </is>
      </c>
    </row>
    <row r="13">
      <c r="A13" s="25" t="inlineStr">
        <is>
          <t>Officer</t>
        </is>
      </c>
      <c r="B13" s="25" t="inlineStr">
        <is>
          <t>O1</t>
        </is>
      </c>
      <c r="C13" s="25" t="inlineStr">
        <is>
          <t>Basic Officer Leadership Course (BOLC)</t>
        </is>
      </c>
      <c r="D13" s="25" t="inlineStr">
        <is>
          <t>BOLC</t>
        </is>
      </c>
      <c r="E13" s="25" t="inlineStr">
        <is>
          <t>Required after commissioning</t>
        </is>
      </c>
      <c r="F13" s="25" t="inlineStr">
        <is>
          <t>Commission</t>
        </is>
      </c>
      <c r="G13" s="25" t="inlineStr">
        <is>
          <t>8–24 weeks (branch dep)</t>
        </is>
      </c>
      <c r="H13" s="25" t="inlineStr">
        <is>
          <t>Branch school</t>
        </is>
      </c>
      <c r="I13" s="25" t="inlineStr">
        <is>
          <t>Complete within 12 months of commissioning</t>
        </is>
      </c>
      <c r="J13" s="26" t="inlineStr">
        <is>
          <t>[DEMO]</t>
        </is>
      </c>
    </row>
    <row r="14">
      <c r="A14" s="30" t="inlineStr">
        <is>
          <t>Officer</t>
        </is>
      </c>
      <c r="B14" s="30" t="inlineStr">
        <is>
          <t>O3</t>
        </is>
      </c>
      <c r="C14" s="30" t="inlineStr">
        <is>
          <t>Captain's Career Course (CCC)</t>
        </is>
      </c>
      <c r="D14" s="30" t="inlineStr">
        <is>
          <t>CCC</t>
        </is>
      </c>
      <c r="E14" s="30" t="inlineStr">
        <is>
          <t>Required for MAJ promotion</t>
        </is>
      </c>
      <c r="F14" s="30" t="inlineStr">
        <is>
          <t>BOLC + time</t>
        </is>
      </c>
      <c r="G14" s="30" t="inlineStr">
        <is>
          <t>18 weeks</t>
        </is>
      </c>
      <c r="H14" s="30" t="inlineStr">
        <is>
          <t>Branch school</t>
        </is>
      </c>
      <c r="I14" s="30" t="inlineStr">
        <is>
          <t>Complete prior to MAJ promotion board</t>
        </is>
      </c>
      <c r="J14" s="26" t="inlineStr">
        <is>
          <t>[DEMO]</t>
        </is>
      </c>
    </row>
    <row r="15">
      <c r="A15" s="25" t="inlineStr">
        <is>
          <t>Officer</t>
        </is>
      </c>
      <c r="B15" s="25" t="inlineStr">
        <is>
          <t>O4-O5</t>
        </is>
      </c>
      <c r="C15" s="25" t="inlineStr">
        <is>
          <t>Intermediate Level Education (ILE)</t>
        </is>
      </c>
      <c r="D15" s="25" t="inlineStr">
        <is>
          <t>ILE</t>
        </is>
      </c>
      <c r="E15" s="25" t="inlineStr">
        <is>
          <t>Required for LTC promotion</t>
        </is>
      </c>
      <c r="F15" s="25" t="inlineStr">
        <is>
          <t>CCC + 8 yrs</t>
        </is>
      </c>
      <c r="G15" s="25" t="inlineStr">
        <is>
          <t>10 months</t>
        </is>
      </c>
      <c r="H15" s="25" t="inlineStr">
        <is>
          <t>Ft Leavenworth (CGSC) or non-resident</t>
        </is>
      </c>
      <c r="I15" s="25" t="inlineStr">
        <is>
          <t>Highly competitive resident; non-resident via ATRRS</t>
        </is>
      </c>
      <c r="J15" s="26" t="inlineStr">
        <is>
          <t>[DEMO]</t>
        </is>
      </c>
    </row>
    <row r="16">
      <c r="A16" s="30" t="inlineStr">
        <is>
          <t>Officer</t>
        </is>
      </c>
      <c r="B16" s="30" t="inlineStr">
        <is>
          <t>O5-O6</t>
        </is>
      </c>
      <c r="C16" s="30" t="inlineStr">
        <is>
          <t>Senior Service College (SSC)</t>
        </is>
      </c>
      <c r="D16" s="30" t="inlineStr">
        <is>
          <t>SSC</t>
        </is>
      </c>
      <c r="E16" s="30" t="inlineStr">
        <is>
          <t>Required for COL/GO</t>
        </is>
      </c>
      <c r="F16" s="30" t="inlineStr">
        <is>
          <t>ILE complete</t>
        </is>
      </c>
      <c r="G16" s="30" t="inlineStr">
        <is>
          <t>10 months</t>
        </is>
      </c>
      <c r="H16" s="30" t="inlineStr">
        <is>
          <t>AWC, ICAF, or equivalent</t>
        </is>
      </c>
      <c r="I16" s="30" t="inlineStr">
        <is>
          <t>Very competitive; &lt;15% selected</t>
        </is>
      </c>
      <c r="J16" s="26" t="inlineStr">
        <is>
          <t>[DEMO]</t>
        </is>
      </c>
    </row>
    <row r="17">
      <c r="A17" s="25" t="inlineStr">
        <is>
          <t>Officer</t>
        </is>
      </c>
      <c r="B17" s="25" t="inlineStr">
        <is>
          <t>O3+</t>
        </is>
      </c>
      <c r="C17" s="25" t="inlineStr">
        <is>
          <t>Pre-Command Course (PCC)</t>
        </is>
      </c>
      <c r="D17" s="25" t="inlineStr">
        <is>
          <t>PCC</t>
        </is>
      </c>
      <c r="E17" s="25" t="inlineStr">
        <is>
          <t>Required before company command</t>
        </is>
      </c>
      <c r="F17" s="25" t="inlineStr">
        <is>
          <t>CCC + slated</t>
        </is>
      </c>
      <c r="G17" s="25" t="inlineStr">
        <is>
          <t>1 week</t>
        </is>
      </c>
      <c r="H17" s="25" t="inlineStr">
        <is>
          <t>Fort Leavenworth</t>
        </is>
      </c>
      <c r="I17" s="25" t="inlineStr">
        <is>
          <t>Required for all company commanders</t>
        </is>
      </c>
      <c r="J17" s="26" t="inlineStr">
        <is>
          <t>[DEMO]</t>
        </is>
      </c>
    </row>
    <row r="18">
      <c r="A18" s="30" t="inlineStr">
        <is>
          <t>Officer</t>
        </is>
      </c>
      <c r="B18" s="30" t="inlineStr">
        <is>
          <t>O4+</t>
        </is>
      </c>
      <c r="C18" s="30" t="inlineStr">
        <is>
          <t>Battalion Pre-Command Course (BN PCC)</t>
        </is>
      </c>
      <c r="D18" s="30" t="inlineStr">
        <is>
          <t>BN-PCC</t>
        </is>
      </c>
      <c r="E18" s="30" t="inlineStr">
        <is>
          <t>Required before BN command</t>
        </is>
      </c>
      <c r="F18" s="30" t="inlineStr">
        <is>
          <t>ILE + slated</t>
        </is>
      </c>
      <c r="G18" s="30" t="inlineStr">
        <is>
          <t>2 weeks</t>
        </is>
      </c>
      <c r="H18" s="30" t="inlineStr">
        <is>
          <t>Fort Leavenworth</t>
        </is>
      </c>
      <c r="I18" s="30" t="inlineStr">
        <is>
          <t>Required for LTC command selection</t>
        </is>
      </c>
      <c r="J18" s="26" t="inlineStr">
        <is>
          <t>[DEMO]</t>
        </is>
      </c>
    </row>
    <row r="19">
      <c r="A19" s="25" t="inlineStr">
        <is>
          <t>Enlisted</t>
        </is>
      </c>
      <c r="B19" s="25" t="inlineStr">
        <is>
          <t>E5-E6</t>
        </is>
      </c>
      <c r="C19" s="25" t="inlineStr">
        <is>
          <t>92Y Unit Supply Specialist Advanced</t>
        </is>
      </c>
      <c r="D19" s="25" t="inlineStr">
        <is>
          <t>92Y ALC</t>
        </is>
      </c>
      <c r="E19" s="25" t="inlineStr">
        <is>
          <t>Required for 92Y E6</t>
        </is>
      </c>
      <c r="F19" s="25" t="inlineStr">
        <is>
          <t>BLC + 92Y MOSQ</t>
        </is>
      </c>
      <c r="G19" s="25" t="inlineStr">
        <is>
          <t>4 weeks</t>
        </is>
      </c>
      <c r="H19" s="25" t="inlineStr">
        <is>
          <t>Quartermasters (Ft Lee)</t>
        </is>
      </c>
      <c r="I19" s="25" t="inlineStr">
        <is>
          <t>MOS-specific ALC track</t>
        </is>
      </c>
      <c r="J19" s="26" t="inlineStr">
        <is>
          <t>[DEMO]</t>
        </is>
      </c>
    </row>
    <row r="20">
      <c r="A20" s="30" t="inlineStr">
        <is>
          <t>Enlisted</t>
        </is>
      </c>
      <c r="B20" s="30" t="inlineStr">
        <is>
          <t>E5-E6</t>
        </is>
      </c>
      <c r="C20" s="30" t="inlineStr">
        <is>
          <t>68W Combat Medic Specialist Advanced</t>
        </is>
      </c>
      <c r="D20" s="30" t="inlineStr">
        <is>
          <t>68W ALC</t>
        </is>
      </c>
      <c r="E20" s="30" t="inlineStr">
        <is>
          <t>Required for 68W E6</t>
        </is>
      </c>
      <c r="F20" s="30" t="inlineStr">
        <is>
          <t>BLC + EMT-B</t>
        </is>
      </c>
      <c r="G20" s="30" t="inlineStr">
        <is>
          <t>4 weeks</t>
        </is>
      </c>
      <c r="H20" s="30" t="inlineStr">
        <is>
          <t>Medical Center of Excellence</t>
        </is>
      </c>
      <c r="I20" s="30" t="inlineStr">
        <is>
          <t>EMT-B required for 68W</t>
        </is>
      </c>
      <c r="J20" s="26" t="inlineStr">
        <is>
          <t>[DEMO]</t>
        </is>
      </c>
    </row>
    <row r="21">
      <c r="A21" s="25" t="inlineStr">
        <is>
          <t>Enlisted</t>
        </is>
      </c>
      <c r="B21" s="25" t="inlineStr">
        <is>
          <t>Any</t>
        </is>
      </c>
      <c r="C21" s="25" t="inlineStr">
        <is>
          <t>Recruiting and Retention School</t>
        </is>
      </c>
      <c r="D21" s="25" t="inlineStr">
        <is>
          <t>RRS</t>
        </is>
      </c>
      <c r="E21" s="25" t="inlineStr">
        <is>
          <t>Required for 79S MOS</t>
        </is>
      </c>
      <c r="F21" s="25" t="inlineStr">
        <is>
          <t>SSG+ recommended</t>
        </is>
      </c>
      <c r="G21" s="25" t="inlineStr">
        <is>
          <t>4 weeks</t>
        </is>
      </c>
      <c r="H21" s="25" t="inlineStr">
        <is>
          <t>Ft Knox</t>
        </is>
      </c>
      <c r="I21" s="25" t="inlineStr">
        <is>
          <t>Required for retention NCO qualification</t>
        </is>
      </c>
      <c r="J21" s="26" t="inlineStr">
        <is>
          <t>[DEMO]</t>
        </is>
      </c>
    </row>
    <row r="22">
      <c r="A22" s="30" t="inlineStr">
        <is>
          <t>Warrant</t>
        </is>
      </c>
      <c r="B22" s="30" t="inlineStr">
        <is>
          <t>W1-W2</t>
        </is>
      </c>
      <c r="C22" s="30" t="inlineStr">
        <is>
          <t>Initial Entry Rotary Wing (IERW)</t>
        </is>
      </c>
      <c r="D22" s="30" t="inlineStr">
        <is>
          <t>IERW</t>
        </is>
      </c>
      <c r="E22" s="30" t="inlineStr">
        <is>
          <t>Required for aviators</t>
        </is>
      </c>
      <c r="F22" s="30" t="inlineStr">
        <is>
          <t>WOFT selection</t>
        </is>
      </c>
      <c r="G22" s="30" t="inlineStr">
        <is>
          <t>14–18 months</t>
        </is>
      </c>
      <c r="H22" s="30" t="inlineStr">
        <is>
          <t>Ft Rucker (Novosel)</t>
        </is>
      </c>
      <c r="I22" s="30" t="inlineStr">
        <is>
          <t>For 153A/153D WO aviators</t>
        </is>
      </c>
      <c r="J22" s="26" t="inlineStr">
        <is>
          <t>[DEMO]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5" customWidth="1" min="3" max="3"/>
    <col width="14" customWidth="1" min="4" max="4"/>
    <col width="18" customWidth="1" min="5" max="5"/>
    <col width="28" customWidth="1" min="6" max="6"/>
    <col width="14" customWidth="1" min="7" max="7"/>
    <col width="12" customWidth="1" min="8" max="8"/>
    <col width="22" customWidth="1" min="9" max="9"/>
    <col width="42" customWidth="1" min="10" max="10"/>
    <col width="10" customWidth="1" min="11" max="11"/>
    <col width="10" customWidth="1" min="12" max="12"/>
  </cols>
  <sheetData>
    <row r="1" ht="20" customHeight="1">
      <c r="A1" s="23" t="inlineStr">
        <is>
          <t>⚠ ADMIN SHEET — MOS TRANSITION PATHWAYS | Verify line scores and waivers with G1/Retention before counseling</t>
        </is>
      </c>
    </row>
    <row r="2">
      <c r="A2" s="24" t="inlineStr">
        <is>
          <t>From MOS</t>
        </is>
      </c>
      <c r="B2" s="24" t="inlineStr">
        <is>
          <t>To MOS</t>
        </is>
      </c>
      <c r="C2" s="24" t="inlineStr">
        <is>
          <t>To MOS Title</t>
        </is>
      </c>
      <c r="D2" s="24" t="inlineStr">
        <is>
          <t>Eligible Grades</t>
        </is>
      </c>
      <c r="E2" s="24" t="inlineStr">
        <is>
          <t>ASVAB Line Score Req</t>
        </is>
      </c>
      <c r="F2" s="24" t="inlineStr">
        <is>
          <t>MOSQ School</t>
        </is>
      </c>
      <c r="G2" s="24" t="inlineStr">
        <is>
          <t>School Duration</t>
        </is>
      </c>
      <c r="H2" s="24" t="inlineStr">
        <is>
          <t>Waiver Available</t>
        </is>
      </c>
      <c r="I2" s="24" t="inlineStr">
        <is>
          <t>Med / Phys Req</t>
        </is>
      </c>
      <c r="J2" s="24" t="inlineStr">
        <is>
          <t>Notes</t>
        </is>
      </c>
      <c r="K2" s="24" t="inlineStr">
        <is>
          <t>Difficulty</t>
        </is>
      </c>
      <c r="L2" s="24" t="inlineStr">
        <is>
          <t>DEMO FLAG</t>
        </is>
      </c>
    </row>
    <row r="3">
      <c r="A3" s="25" t="inlineStr">
        <is>
          <t>11B</t>
        </is>
      </c>
      <c r="B3" s="25" t="inlineStr">
        <is>
          <t>19D</t>
        </is>
      </c>
      <c r="C3" s="25" t="inlineStr">
        <is>
          <t>Cavalry Scout</t>
        </is>
      </c>
      <c r="D3" s="25" t="inlineStr">
        <is>
          <t>E1-E6</t>
        </is>
      </c>
      <c r="E3" s="25" t="inlineStr">
        <is>
          <t>CO:87</t>
        </is>
      </c>
      <c r="F3" s="25" t="inlineStr">
        <is>
          <t>OSUT Ft Knox / ANCOC</t>
        </is>
      </c>
      <c r="G3" s="25" t="inlineStr">
        <is>
          <t>14–22 wks</t>
        </is>
      </c>
      <c r="H3" s="25" t="inlineStr">
        <is>
          <t>Limited</t>
        </is>
      </c>
      <c r="I3" s="25" t="inlineStr">
        <is>
          <t>PULHES 111111</t>
        </is>
      </c>
      <c r="J3" s="25" t="inlineStr">
        <is>
          <t>Lateral similar track</t>
        </is>
      </c>
      <c r="K3" s="31" t="inlineStr">
        <is>
          <t>Moderate</t>
        </is>
      </c>
      <c r="L3" s="26" t="inlineStr">
        <is>
          <t>[DEMO]</t>
        </is>
      </c>
    </row>
    <row r="4">
      <c r="A4" s="27" t="inlineStr">
        <is>
          <t>11B</t>
        </is>
      </c>
      <c r="B4" s="27" t="inlineStr">
        <is>
          <t>12B</t>
        </is>
      </c>
      <c r="C4" s="27" t="inlineStr">
        <is>
          <t>Combat Engineer</t>
        </is>
      </c>
      <c r="D4" s="27" t="inlineStr">
        <is>
          <t>E1-E6</t>
        </is>
      </c>
      <c r="E4" s="27" t="inlineStr">
        <is>
          <t>CO:87, GT:100</t>
        </is>
      </c>
      <c r="F4" s="27" t="inlineStr">
        <is>
          <t>OSUT Ft Leonard Wood</t>
        </is>
      </c>
      <c r="G4" s="27" t="inlineStr">
        <is>
          <t>14–18 wks</t>
        </is>
      </c>
      <c r="H4" s="27" t="inlineStr">
        <is>
          <t>Limited</t>
        </is>
      </c>
      <c r="I4" s="27" t="inlineStr">
        <is>
          <t>PULHES 111111</t>
        </is>
      </c>
      <c r="J4" s="27" t="inlineStr">
        <is>
          <t>Popular reclass track</t>
        </is>
      </c>
      <c r="K4" s="31" t="inlineStr">
        <is>
          <t>Moderate</t>
        </is>
      </c>
      <c r="L4" s="26" t="inlineStr">
        <is>
          <t>[DEMO]</t>
        </is>
      </c>
    </row>
    <row r="5">
      <c r="A5" s="25" t="inlineStr">
        <is>
          <t>11B</t>
        </is>
      </c>
      <c r="B5" s="25" t="inlineStr">
        <is>
          <t>25U</t>
        </is>
      </c>
      <c r="C5" s="25" t="inlineStr">
        <is>
          <t>Signal Support Spc</t>
        </is>
      </c>
      <c r="D5" s="25" t="inlineStr">
        <is>
          <t>E1-E6</t>
        </is>
      </c>
      <c r="E5" s="25" t="inlineStr">
        <is>
          <t>EL:93, GT:100</t>
        </is>
      </c>
      <c r="F5" s="25" t="inlineStr">
        <is>
          <t>AIT Ft Gordon</t>
        </is>
      </c>
      <c r="G5" s="25" t="inlineStr">
        <is>
          <t>20 wks</t>
        </is>
      </c>
      <c r="H5" s="25" t="inlineStr">
        <is>
          <t>Yes</t>
        </is>
      </c>
      <c r="I5" s="25" t="inlineStr">
        <is>
          <t>Standard</t>
        </is>
      </c>
      <c r="J5" s="25" t="inlineStr">
        <is>
          <t>Good broadening option</t>
        </is>
      </c>
      <c r="K5" s="31" t="inlineStr">
        <is>
          <t>Moderate</t>
        </is>
      </c>
      <c r="L5" s="26" t="inlineStr">
        <is>
          <t>[DEMO]</t>
        </is>
      </c>
    </row>
    <row r="6">
      <c r="A6" s="27" t="inlineStr">
        <is>
          <t>11B</t>
        </is>
      </c>
      <c r="B6" s="27" t="inlineStr">
        <is>
          <t>92Y</t>
        </is>
      </c>
      <c r="C6" s="27" t="inlineStr">
        <is>
          <t>Unit Supply Spc</t>
        </is>
      </c>
      <c r="D6" s="27" t="inlineStr">
        <is>
          <t>E1-E7</t>
        </is>
      </c>
      <c r="E6" s="27" t="inlineStr">
        <is>
          <t>CL:90, OF:85</t>
        </is>
      </c>
      <c r="F6" s="27" t="inlineStr">
        <is>
          <t>AIT Ft Lee</t>
        </is>
      </c>
      <c r="G6" s="27" t="inlineStr">
        <is>
          <t>8 wks</t>
        </is>
      </c>
      <c r="H6" s="27" t="inlineStr">
        <is>
          <t>Yes</t>
        </is>
      </c>
      <c r="I6" s="27" t="inlineStr">
        <is>
          <t>Standard</t>
        </is>
      </c>
      <c r="J6" s="27" t="inlineStr">
        <is>
          <t>Common reclass for senior NCOs</t>
        </is>
      </c>
      <c r="K6" s="32" t="inlineStr">
        <is>
          <t>Easy</t>
        </is>
      </c>
      <c r="L6" s="26" t="inlineStr">
        <is>
          <t>[DEMO]</t>
        </is>
      </c>
    </row>
    <row r="7">
      <c r="A7" s="25" t="inlineStr">
        <is>
          <t>11B</t>
        </is>
      </c>
      <c r="B7" s="25" t="inlineStr">
        <is>
          <t>42A</t>
        </is>
      </c>
      <c r="C7" s="25" t="inlineStr">
        <is>
          <t>HR Specialist</t>
        </is>
      </c>
      <c r="D7" s="25" t="inlineStr">
        <is>
          <t>E1-E6</t>
        </is>
      </c>
      <c r="E7" s="25" t="inlineStr">
        <is>
          <t>CL:90, VE:72</t>
        </is>
      </c>
      <c r="F7" s="25" t="inlineStr">
        <is>
          <t>AIT Ft Jackson</t>
        </is>
      </c>
      <c r="G7" s="25" t="inlineStr">
        <is>
          <t>10 wks</t>
        </is>
      </c>
      <c r="H7" s="25" t="inlineStr">
        <is>
          <t>Yes</t>
        </is>
      </c>
      <c r="I7" s="25" t="inlineStr">
        <is>
          <t>Standard</t>
        </is>
      </c>
      <c r="J7" s="25" t="inlineStr">
        <is>
          <t>Good AGR pathway</t>
        </is>
      </c>
      <c r="K7" s="32" t="inlineStr">
        <is>
          <t>Easy</t>
        </is>
      </c>
      <c r="L7" s="26" t="inlineStr">
        <is>
          <t>[DEMO]</t>
        </is>
      </c>
    </row>
    <row r="8">
      <c r="A8" s="27" t="inlineStr">
        <is>
          <t>11B</t>
        </is>
      </c>
      <c r="B8" s="27" t="inlineStr">
        <is>
          <t>68W</t>
        </is>
      </c>
      <c r="C8" s="27" t="inlineStr">
        <is>
          <t>Combat Medic</t>
        </is>
      </c>
      <c r="D8" s="27" t="inlineStr">
        <is>
          <t>E1-E5</t>
        </is>
      </c>
      <c r="E8" s="27" t="inlineStr">
        <is>
          <t>ST:101, GT:107</t>
        </is>
      </c>
      <c r="F8" s="27" t="inlineStr">
        <is>
          <t>AMEDD AIT + EMT-B</t>
        </is>
      </c>
      <c r="G8" s="27" t="inlineStr">
        <is>
          <t>16 wks</t>
        </is>
      </c>
      <c r="H8" s="27" t="inlineStr">
        <is>
          <t>No</t>
        </is>
      </c>
      <c r="I8" s="27" t="inlineStr">
        <is>
          <t>PULHES 111111, color vision</t>
        </is>
      </c>
      <c r="J8" s="27" t="inlineStr">
        <is>
          <t>Physically demanding</t>
        </is>
      </c>
      <c r="K8" s="33" t="inlineStr">
        <is>
          <t>Hard</t>
        </is>
      </c>
      <c r="L8" s="26" t="inlineStr">
        <is>
          <t>[DEMO]</t>
        </is>
      </c>
    </row>
    <row r="9">
      <c r="A9" s="25" t="inlineStr">
        <is>
          <t>11B</t>
        </is>
      </c>
      <c r="B9" s="25" t="inlineStr">
        <is>
          <t>79S</t>
        </is>
      </c>
      <c r="C9" s="25" t="inlineStr">
        <is>
          <t>Career Counselor</t>
        </is>
      </c>
      <c r="D9" s="25" t="inlineStr">
        <is>
          <t>E6-E8</t>
        </is>
      </c>
      <c r="E9" s="25" t="inlineStr">
        <is>
          <t>GT:110</t>
        </is>
      </c>
      <c r="F9" s="25" t="inlineStr">
        <is>
          <t>Recruiting &amp; Ret School Ft Knox</t>
        </is>
      </c>
      <c r="G9" s="25" t="inlineStr">
        <is>
          <t>4 wks</t>
        </is>
      </c>
      <c r="H9" s="25" t="inlineStr">
        <is>
          <t>Yes</t>
        </is>
      </c>
      <c r="I9" s="25" t="inlineStr">
        <is>
          <t>Standard</t>
        </is>
      </c>
      <c r="J9" s="25" t="inlineStr">
        <is>
          <t>E6 min; good senior career</t>
        </is>
      </c>
      <c r="K9" s="31" t="inlineStr">
        <is>
          <t>Moderate</t>
        </is>
      </c>
      <c r="L9" s="26" t="inlineStr">
        <is>
          <t>[DEMO]</t>
        </is>
      </c>
    </row>
    <row r="10">
      <c r="A10" s="27" t="inlineStr">
        <is>
          <t>92Y</t>
        </is>
      </c>
      <c r="B10" s="27" t="inlineStr">
        <is>
          <t>88M</t>
        </is>
      </c>
      <c r="C10" s="27" t="inlineStr">
        <is>
          <t>Motor Transport Op</t>
        </is>
      </c>
      <c r="D10" s="27" t="inlineStr">
        <is>
          <t>E1-E6</t>
        </is>
      </c>
      <c r="E10" s="27" t="inlineStr">
        <is>
          <t>OF:85</t>
        </is>
      </c>
      <c r="F10" s="27" t="inlineStr">
        <is>
          <t>AIT Ft Lee</t>
        </is>
      </c>
      <c r="G10" s="27" t="inlineStr">
        <is>
          <t>8 wks</t>
        </is>
      </c>
      <c r="H10" s="27" t="inlineStr">
        <is>
          <t>Yes</t>
        </is>
      </c>
      <c r="I10" s="27" t="inlineStr">
        <is>
          <t>Class B CDL req</t>
        </is>
      </c>
      <c r="J10" s="27" t="inlineStr">
        <is>
          <t>CDL may be waived</t>
        </is>
      </c>
      <c r="K10" s="32" t="inlineStr">
        <is>
          <t>Easy</t>
        </is>
      </c>
      <c r="L10" s="26" t="inlineStr">
        <is>
          <t>[DEMO]</t>
        </is>
      </c>
    </row>
    <row r="11">
      <c r="A11" s="25" t="inlineStr">
        <is>
          <t>92Y</t>
        </is>
      </c>
      <c r="B11" s="25" t="inlineStr">
        <is>
          <t>42A</t>
        </is>
      </c>
      <c r="C11" s="25" t="inlineStr">
        <is>
          <t>HR Specialist</t>
        </is>
      </c>
      <c r="D11" s="25" t="inlineStr">
        <is>
          <t>E1-E6</t>
        </is>
      </c>
      <c r="E11" s="25" t="inlineStr">
        <is>
          <t>CL:90, VE:72</t>
        </is>
      </c>
      <c r="F11" s="25" t="inlineStr">
        <is>
          <t>AIT Ft Jackson</t>
        </is>
      </c>
      <c r="G11" s="25" t="inlineStr">
        <is>
          <t>10 wks</t>
        </is>
      </c>
      <c r="H11" s="25" t="inlineStr">
        <is>
          <t>Yes</t>
        </is>
      </c>
      <c r="I11" s="25" t="inlineStr">
        <is>
          <t>Standard</t>
        </is>
      </c>
      <c r="J11" s="25" t="inlineStr">
        <is>
          <t>Related admin track</t>
        </is>
      </c>
      <c r="K11" s="32" t="inlineStr">
        <is>
          <t>Easy</t>
        </is>
      </c>
      <c r="L11" s="26" t="inlineStr">
        <is>
          <t>[DEMO]</t>
        </is>
      </c>
    </row>
    <row r="12">
      <c r="A12" s="27" t="inlineStr">
        <is>
          <t>92Y</t>
        </is>
      </c>
      <c r="B12" s="27" t="inlineStr">
        <is>
          <t>92A</t>
        </is>
      </c>
      <c r="C12" s="27" t="inlineStr">
        <is>
          <t>Automated Logistical Spc</t>
        </is>
      </c>
      <c r="D12" s="27" t="inlineStr">
        <is>
          <t>E1-E6</t>
        </is>
      </c>
      <c r="E12" s="27" t="inlineStr">
        <is>
          <t>CL:90, OF:85</t>
        </is>
      </c>
      <c r="F12" s="27" t="inlineStr">
        <is>
          <t>AIT Ft Lee</t>
        </is>
      </c>
      <c r="G12" s="27" t="inlineStr">
        <is>
          <t>10 wks</t>
        </is>
      </c>
      <c r="H12" s="27" t="inlineStr">
        <is>
          <t>Yes</t>
        </is>
      </c>
      <c r="I12" s="27" t="inlineStr">
        <is>
          <t>Standard</t>
        </is>
      </c>
      <c r="J12" s="27" t="inlineStr">
        <is>
          <t>Promotion pathway for 92Y</t>
        </is>
      </c>
      <c r="K12" s="32" t="inlineStr">
        <is>
          <t>Easy</t>
        </is>
      </c>
      <c r="L12" s="26" t="inlineStr">
        <is>
          <t>[DEMO]</t>
        </is>
      </c>
    </row>
    <row r="13">
      <c r="A13" s="25" t="inlineStr">
        <is>
          <t>68W</t>
        </is>
      </c>
      <c r="B13" s="25" t="inlineStr">
        <is>
          <t>18D</t>
        </is>
      </c>
      <c r="C13" s="25" t="inlineStr">
        <is>
          <t>SF Medical SGT</t>
        </is>
      </c>
      <c r="D13" s="25" t="inlineStr">
        <is>
          <t>E6+</t>
        </is>
      </c>
      <c r="E13" s="25" t="inlineStr">
        <is>
          <t>GT:110, ST:101</t>
        </is>
      </c>
      <c r="F13" s="25" t="inlineStr">
        <is>
          <t>SFMS Ft Bragg</t>
        </is>
      </c>
      <c r="G13" s="25" t="inlineStr">
        <is>
          <t>57 wks</t>
        </is>
      </c>
      <c r="H13" s="25" t="inlineStr">
        <is>
          <t>No</t>
        </is>
      </c>
      <c r="I13" s="25" t="inlineStr">
        <is>
          <t>PULHES 111111, Phase I physical</t>
        </is>
      </c>
      <c r="J13" s="25" t="inlineStr">
        <is>
          <t>Must volunteer; very selective</t>
        </is>
      </c>
      <c r="K13" s="33" t="inlineStr">
        <is>
          <t>Hard</t>
        </is>
      </c>
      <c r="L13" s="26" t="inlineStr">
        <is>
          <t>[DEMO]</t>
        </is>
      </c>
    </row>
    <row r="14">
      <c r="A14" s="27" t="inlineStr">
        <is>
          <t>68W</t>
        </is>
      </c>
      <c r="B14" s="27" t="inlineStr">
        <is>
          <t>66H</t>
        </is>
      </c>
      <c r="C14" s="27" t="inlineStr">
        <is>
          <t>Registered Nurse</t>
        </is>
      </c>
      <c r="D14" s="27" t="inlineStr">
        <is>
          <t>O1+</t>
        </is>
      </c>
      <c r="E14" s="27" t="inlineStr">
        <is>
          <t>Commission + RN license</t>
        </is>
      </c>
      <c r="F14" s="27" t="inlineStr">
        <is>
          <t>AMEDD Officer Basic</t>
        </is>
      </c>
      <c r="G14" s="27" t="inlineStr">
        <is>
          <t>Varies</t>
        </is>
      </c>
      <c r="H14" s="27" t="inlineStr">
        <is>
          <t>No</t>
        </is>
      </c>
      <c r="I14" s="27" t="inlineStr">
        <is>
          <t>Current RN license</t>
        </is>
      </c>
      <c r="J14" s="27" t="inlineStr">
        <is>
          <t>Commission pathway</t>
        </is>
      </c>
      <c r="K14" s="33" t="inlineStr">
        <is>
          <t>Hard</t>
        </is>
      </c>
      <c r="L14" s="26" t="inlineStr">
        <is>
          <t>[DEMO]</t>
        </is>
      </c>
    </row>
    <row r="15">
      <c r="A15" s="25" t="inlineStr">
        <is>
          <t>25U</t>
        </is>
      </c>
      <c r="B15" s="25" t="inlineStr">
        <is>
          <t>255A</t>
        </is>
      </c>
      <c r="C15" s="25" t="inlineStr">
        <is>
          <t>Network WO</t>
        </is>
      </c>
      <c r="D15" s="25" t="inlineStr">
        <is>
          <t>E5-E6 (Warrant)</t>
        </is>
      </c>
      <c r="E15" s="25" t="inlineStr">
        <is>
          <t>EL:98, GT:110</t>
        </is>
      </c>
      <c r="F15" s="25" t="inlineStr">
        <is>
          <t>WOCC + WOBC Fort Gordon</t>
        </is>
      </c>
      <c r="G15" s="25" t="inlineStr">
        <is>
          <t>6 months</t>
        </is>
      </c>
      <c r="H15" s="25" t="inlineStr">
        <is>
          <t>No</t>
        </is>
      </c>
      <c r="I15" s="25" t="inlineStr">
        <is>
          <t>Standard</t>
        </is>
      </c>
      <c r="J15" s="25" t="inlineStr">
        <is>
          <t>WO appointment required</t>
        </is>
      </c>
      <c r="K15" s="33" t="inlineStr">
        <is>
          <t>Hard</t>
        </is>
      </c>
      <c r="L15" s="26" t="inlineStr">
        <is>
          <t>[DEMO]</t>
        </is>
      </c>
    </row>
    <row r="16">
      <c r="A16" s="27" t="inlineStr">
        <is>
          <t>19D</t>
        </is>
      </c>
      <c r="B16" s="27" t="inlineStr">
        <is>
          <t>11A</t>
        </is>
      </c>
      <c r="C16" s="27" t="inlineStr">
        <is>
          <t>Infantry Officer</t>
        </is>
      </c>
      <c r="D16" s="27" t="inlineStr">
        <is>
          <t>E5-E7 (OCS)</t>
        </is>
      </c>
      <c r="E16" s="27" t="inlineStr">
        <is>
          <t>GT:110</t>
        </is>
      </c>
      <c r="F16" s="27" t="inlineStr">
        <is>
          <t>OCS + BOLC</t>
        </is>
      </c>
      <c r="G16" s="27" t="inlineStr">
        <is>
          <t>18 months</t>
        </is>
      </c>
      <c r="H16" s="27" t="inlineStr">
        <is>
          <t>Yes</t>
        </is>
      </c>
      <c r="I16" s="27" t="inlineStr">
        <is>
          <t>PULHES 111111</t>
        </is>
      </c>
      <c r="J16" s="27" t="inlineStr">
        <is>
          <t>OCS then reclass</t>
        </is>
      </c>
      <c r="K16" s="33" t="inlineStr">
        <is>
          <t>Hard</t>
        </is>
      </c>
      <c r="L16" s="26" t="inlineStr">
        <is>
          <t>[DEMO]</t>
        </is>
      </c>
    </row>
    <row r="17">
      <c r="A17" s="25" t="inlineStr">
        <is>
          <t>Any</t>
        </is>
      </c>
      <c r="B17" s="25" t="inlineStr">
        <is>
          <t>79V</t>
        </is>
      </c>
      <c r="C17" s="25" t="inlineStr">
        <is>
          <t>Retention &amp; Trans NCO</t>
        </is>
      </c>
      <c r="D17" s="25" t="inlineStr">
        <is>
          <t>E7+</t>
        </is>
      </c>
      <c r="E17" s="25" t="inlineStr">
        <is>
          <t>GT:100</t>
        </is>
      </c>
      <c r="F17" s="25" t="inlineStr">
        <is>
          <t>Retention School</t>
        </is>
      </c>
      <c r="G17" s="25" t="inlineStr">
        <is>
          <t>4 wks</t>
        </is>
      </c>
      <c r="H17" s="25" t="inlineStr">
        <is>
          <t>Yes</t>
        </is>
      </c>
      <c r="I17" s="25" t="inlineStr">
        <is>
          <t>Standard</t>
        </is>
      </c>
      <c r="J17" s="25" t="inlineStr">
        <is>
          <t>State-managed; AGR common</t>
        </is>
      </c>
      <c r="K17" s="31" t="inlineStr">
        <is>
          <t>Moderate</t>
        </is>
      </c>
      <c r="L17" s="26" t="inlineStr">
        <is>
          <t>[DEMO]</t>
        </is>
      </c>
    </row>
    <row r="18">
      <c r="A18" s="27" t="inlineStr">
        <is>
          <t>12B</t>
        </is>
      </c>
      <c r="B18" s="27" t="inlineStr">
        <is>
          <t>12A</t>
        </is>
      </c>
      <c r="C18" s="27" t="inlineStr">
        <is>
          <t>Engineer Officer (OCS)</t>
        </is>
      </c>
      <c r="D18" s="27" t="inlineStr">
        <is>
          <t>E5-E7</t>
        </is>
      </c>
      <c r="E18" s="27" t="inlineStr">
        <is>
          <t>GT:110</t>
        </is>
      </c>
      <c r="F18" s="27" t="inlineStr">
        <is>
          <t>OCS + BOLC</t>
        </is>
      </c>
      <c r="G18" s="27" t="inlineStr">
        <is>
          <t>18 months</t>
        </is>
      </c>
      <c r="H18" s="27" t="inlineStr">
        <is>
          <t>Yes</t>
        </is>
      </c>
      <c r="I18" s="27" t="inlineStr">
        <is>
          <t>Standard</t>
        </is>
      </c>
      <c r="J18" s="27" t="inlineStr">
        <is>
          <t>Common pathway for senior 12B</t>
        </is>
      </c>
      <c r="K18" s="33" t="inlineStr">
        <is>
          <t>Hard</t>
        </is>
      </c>
      <c r="L18" s="26" t="inlineStr">
        <is>
          <t>[DEMO]</t>
        </is>
      </c>
    </row>
    <row r="19">
      <c r="A19" s="25" t="inlineStr">
        <is>
          <t>Any</t>
        </is>
      </c>
      <c r="B19" s="25" t="inlineStr">
        <is>
          <t>153A</t>
        </is>
      </c>
      <c r="C19" s="25" t="inlineStr">
        <is>
          <t>Warrant Aviator</t>
        </is>
      </c>
      <c r="D19" s="25" t="inlineStr">
        <is>
          <t>E3-E5 or civilian</t>
        </is>
      </c>
      <c r="E19" s="25" t="inlineStr">
        <is>
          <t>GT:110, SIFT score</t>
        </is>
      </c>
      <c r="F19" s="25" t="inlineStr">
        <is>
          <t>WOFT + IERW</t>
        </is>
      </c>
      <c r="G19" s="25" t="inlineStr">
        <is>
          <t>18–24 months</t>
        </is>
      </c>
      <c r="H19" s="25" t="inlineStr">
        <is>
          <t>No</t>
        </is>
      </c>
      <c r="I19" s="25" t="inlineStr">
        <is>
          <t>Class 1 flight physical</t>
        </is>
      </c>
      <c r="J19" s="25" t="inlineStr">
        <is>
          <t>High demand; very selective</t>
        </is>
      </c>
      <c r="K19" s="33" t="inlineStr">
        <is>
          <t>Hard</t>
        </is>
      </c>
      <c r="L19" s="26" t="inlineStr">
        <is>
          <t>[DEMO]</t>
        </is>
      </c>
    </row>
    <row r="20">
      <c r="A20" s="27" t="inlineStr">
        <is>
          <t>42A</t>
        </is>
      </c>
      <c r="B20" s="27" t="inlineStr">
        <is>
          <t>36A</t>
        </is>
      </c>
      <c r="C20" s="27" t="inlineStr">
        <is>
          <t>Financial Manager (Officer)</t>
        </is>
      </c>
      <c r="D20" s="27" t="inlineStr">
        <is>
          <t>E4-E6</t>
        </is>
      </c>
      <c r="E20" s="27" t="inlineStr">
        <is>
          <t>GT:110</t>
        </is>
      </c>
      <c r="F20" s="27" t="inlineStr">
        <is>
          <t>OCS + BOLC FI</t>
        </is>
      </c>
      <c r="G20" s="27" t="inlineStr">
        <is>
          <t>18 months</t>
        </is>
      </c>
      <c r="H20" s="27" t="inlineStr">
        <is>
          <t>Yes</t>
        </is>
      </c>
      <c r="I20" s="27" t="inlineStr">
        <is>
          <t>Standard</t>
        </is>
      </c>
      <c r="J20" s="27" t="inlineStr">
        <is>
          <t>Finance officer pathway</t>
        </is>
      </c>
      <c r="K20" s="33" t="inlineStr">
        <is>
          <t>Hard</t>
        </is>
      </c>
      <c r="L20" s="26" t="inlineStr">
        <is>
          <t>[DEMO]</t>
        </is>
      </c>
    </row>
  </sheetData>
  <autoFilter ref="A2:L20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6" customWidth="1" min="4" max="4"/>
    <col width="12" customWidth="1" min="5" max="5"/>
    <col width="24" customWidth="1" min="6" max="6"/>
    <col width="14" customWidth="1" min="7" max="7"/>
    <col width="16" customWidth="1" min="8" max="8"/>
    <col width="45" customWidth="1" min="9" max="9"/>
    <col width="10" customWidth="1" min="10" max="10"/>
  </cols>
  <sheetData>
    <row r="1" ht="20" customHeight="1">
      <c r="A1" s="23" t="inlineStr">
        <is>
          <t>⚠ ADMIN SHEET — PROMOTION TIMELINE REFERENCE | Verify TIG/TIS against current ARNG selection board criteria</t>
        </is>
      </c>
    </row>
    <row r="2">
      <c r="A2" s="24" t="inlineStr">
        <is>
          <t>Career Category</t>
        </is>
      </c>
      <c r="B2" s="24" t="inlineStr">
        <is>
          <t>Promote To</t>
        </is>
      </c>
      <c r="C2" s="24" t="inlineStr">
        <is>
          <t>Min TIG (months)</t>
        </is>
      </c>
      <c r="D2" s="24" t="inlineStr">
        <is>
          <t>Typical TIG (months)</t>
        </is>
      </c>
      <c r="E2" s="24" t="inlineStr">
        <is>
          <t>Min TIS (years)</t>
        </is>
      </c>
      <c r="F2" s="24" t="inlineStr">
        <is>
          <t>PME Required Before Board</t>
        </is>
      </c>
      <c r="G2" s="24" t="inlineStr">
        <is>
          <t>Board Type</t>
        </is>
      </c>
      <c r="H2" s="24" t="inlineStr">
        <is>
          <t>Promotion Rate (est)</t>
        </is>
      </c>
      <c r="I2" s="24" t="inlineStr">
        <is>
          <t>Notes</t>
        </is>
      </c>
      <c r="J2" s="24" t="inlineStr">
        <is>
          <t>DEMO FLAG</t>
        </is>
      </c>
    </row>
    <row r="3">
      <c r="A3" s="34" t="inlineStr">
        <is>
          <t>Enlisted</t>
        </is>
      </c>
      <c r="B3" s="34" t="inlineStr">
        <is>
          <t>SGT (E5)</t>
        </is>
      </c>
      <c r="C3" s="35" t="inlineStr">
        <is>
          <t>12</t>
        </is>
      </c>
      <c r="D3" s="35" t="inlineStr">
        <is>
          <t>24</t>
        </is>
      </c>
      <c r="E3" s="35" t="inlineStr">
        <is>
          <t>2</t>
        </is>
      </c>
      <c r="F3" s="34" t="inlineStr">
        <is>
          <t>BLC enrolled or complete</t>
        </is>
      </c>
      <c r="G3" s="34" t="inlineStr">
        <is>
          <t>Unit</t>
        </is>
      </c>
      <c r="H3" s="35" t="inlineStr">
        <is>
          <t>~85%</t>
        </is>
      </c>
      <c r="I3" s="34" t="inlineStr">
        <is>
          <t>SPC(P) required; most common bottleneck is BLC seat</t>
        </is>
      </c>
      <c r="J3" s="26" t="inlineStr">
        <is>
          <t>[DEMO]</t>
        </is>
      </c>
    </row>
    <row r="4">
      <c r="A4" s="36" t="inlineStr">
        <is>
          <t>Enlisted</t>
        </is>
      </c>
      <c r="B4" s="36" t="inlineStr">
        <is>
          <t>SSG (E6)</t>
        </is>
      </c>
      <c r="C4" s="37" t="inlineStr">
        <is>
          <t>18</t>
        </is>
      </c>
      <c r="D4" s="37" t="inlineStr">
        <is>
          <t>36</t>
        </is>
      </c>
      <c r="E4" s="37" t="inlineStr">
        <is>
          <t>5</t>
        </is>
      </c>
      <c r="F4" s="36" t="inlineStr">
        <is>
          <t>BLC complete; ALC enrolled</t>
        </is>
      </c>
      <c r="G4" s="36" t="inlineStr">
        <is>
          <t>State/Unit</t>
        </is>
      </c>
      <c r="H4" s="37" t="inlineStr">
        <is>
          <t>~40–55%</t>
        </is>
      </c>
      <c r="I4" s="36" t="inlineStr">
        <is>
          <t>Competitive; leadership position often required</t>
        </is>
      </c>
      <c r="J4" s="26" t="inlineStr">
        <is>
          <t>[DEMO]</t>
        </is>
      </c>
    </row>
    <row r="5">
      <c r="A5" s="38" t="inlineStr">
        <is>
          <t>Enlisted</t>
        </is>
      </c>
      <c r="B5" s="38" t="inlineStr">
        <is>
          <t>SFC (E7)</t>
        </is>
      </c>
      <c r="C5" s="39" t="inlineStr">
        <is>
          <t>18</t>
        </is>
      </c>
      <c r="D5" s="39" t="inlineStr">
        <is>
          <t>48</t>
        </is>
      </c>
      <c r="E5" s="39" t="inlineStr">
        <is>
          <t>8</t>
        </is>
      </c>
      <c r="F5" s="38" t="inlineStr">
        <is>
          <t>ALC complete; SLC eligible</t>
        </is>
      </c>
      <c r="G5" s="38" t="inlineStr">
        <is>
          <t>DA Centralized</t>
        </is>
      </c>
      <c r="H5" s="39" t="inlineStr">
        <is>
          <t>~25–35%</t>
        </is>
      </c>
      <c r="I5" s="38" t="inlineStr">
        <is>
          <t>Highly competitive; key developmental required</t>
        </is>
      </c>
      <c r="J5" s="26" t="inlineStr">
        <is>
          <t>[DEMO]</t>
        </is>
      </c>
    </row>
    <row r="6">
      <c r="A6" s="40" t="inlineStr">
        <is>
          <t>Enlisted</t>
        </is>
      </c>
      <c r="B6" s="40" t="inlineStr">
        <is>
          <t>MSG (E8)</t>
        </is>
      </c>
      <c r="C6" s="41" t="inlineStr">
        <is>
          <t>12</t>
        </is>
      </c>
      <c r="D6" s="41" t="inlineStr">
        <is>
          <t>60</t>
        </is>
      </c>
      <c r="E6" s="41" t="inlineStr">
        <is>
          <t>10</t>
        </is>
      </c>
      <c r="F6" s="40" t="inlineStr">
        <is>
          <t>SLC complete</t>
        </is>
      </c>
      <c r="G6" s="40" t="inlineStr">
        <is>
          <t>DA Centralized</t>
        </is>
      </c>
      <c r="H6" s="41" t="inlineStr">
        <is>
          <t>~15–20%</t>
        </is>
      </c>
      <c r="I6" s="40" t="inlineStr">
        <is>
          <t>Senior leader competition; limited MTARNG positions</t>
        </is>
      </c>
      <c r="J6" s="26" t="inlineStr">
        <is>
          <t>[DEMO]</t>
        </is>
      </c>
    </row>
    <row r="7">
      <c r="A7" s="42" t="inlineStr">
        <is>
          <t>Enlisted</t>
        </is>
      </c>
      <c r="B7" s="42" t="inlineStr">
        <is>
          <t>SGM (E9)</t>
        </is>
      </c>
      <c r="C7" s="43" t="inlineStr">
        <is>
          <t>12</t>
        </is>
      </c>
      <c r="D7" s="43" t="inlineStr">
        <is>
          <t>72</t>
        </is>
      </c>
      <c r="E7" s="43" t="inlineStr">
        <is>
          <t>12</t>
        </is>
      </c>
      <c r="F7" s="42" t="inlineStr">
        <is>
          <t>SLC complete</t>
        </is>
      </c>
      <c r="G7" s="42" t="inlineStr">
        <is>
          <t>DA Centralized</t>
        </is>
      </c>
      <c r="H7" s="43" t="inlineStr">
        <is>
          <t>~5–8%</t>
        </is>
      </c>
      <c r="I7" s="42" t="inlineStr">
        <is>
          <t>Limited; SMC for CSM path</t>
        </is>
      </c>
      <c r="J7" s="26" t="inlineStr">
        <is>
          <t>[DEMO]</t>
        </is>
      </c>
    </row>
    <row r="8">
      <c r="A8" s="40" t="inlineStr">
        <is>
          <t>Enlisted</t>
        </is>
      </c>
      <c r="B8" s="40" t="inlineStr">
        <is>
          <t>1SG (E8 variant)</t>
        </is>
      </c>
      <c r="C8" s="41" t="inlineStr">
        <is>
          <t>N/A</t>
        </is>
      </c>
      <c r="D8" s="41" t="inlineStr">
        <is>
          <t>N/A</t>
        </is>
      </c>
      <c r="E8" s="41" t="inlineStr">
        <is>
          <t>N/A</t>
        </is>
      </c>
      <c r="F8" s="40" t="inlineStr">
        <is>
          <t>SLC complete</t>
        </is>
      </c>
      <c r="G8" s="40" t="inlineStr">
        <is>
          <t>Command Designation</t>
        </is>
      </c>
      <c r="H8" s="41" t="inlineStr">
        <is>
          <t>N/A</t>
        </is>
      </c>
      <c r="I8" s="40" t="inlineStr">
        <is>
          <t>1SG is a position, not a separate grade; still MSG</t>
        </is>
      </c>
      <c r="J8" s="26" t="inlineStr">
        <is>
          <t>[DEMO]</t>
        </is>
      </c>
    </row>
    <row r="9">
      <c r="A9" s="42" t="inlineStr">
        <is>
          <t>Enlisted</t>
        </is>
      </c>
      <c r="B9" s="42" t="inlineStr">
        <is>
          <t>CSM (E9 variant)</t>
        </is>
      </c>
      <c r="C9" s="43" t="inlineStr">
        <is>
          <t>N/A</t>
        </is>
      </c>
      <c r="D9" s="43" t="inlineStr">
        <is>
          <t>N/A</t>
        </is>
      </c>
      <c r="E9" s="43" t="inlineStr">
        <is>
          <t>N/A</t>
        </is>
      </c>
      <c r="F9" s="42" t="inlineStr">
        <is>
          <t>SMC</t>
        </is>
      </c>
      <c r="G9" s="42" t="inlineStr">
        <is>
          <t>CSM Selection Board</t>
        </is>
      </c>
      <c r="H9" s="43" t="inlineStr">
        <is>
          <t>Very competitive</t>
        </is>
      </c>
      <c r="I9" s="42" t="inlineStr">
        <is>
          <t>CSM selection separate from SGM board</t>
        </is>
      </c>
      <c r="J9" s="26" t="inlineStr">
        <is>
          <t>[DEMO]</t>
        </is>
      </c>
    </row>
    <row r="10">
      <c r="A10" s="44" t="inlineStr">
        <is>
          <t>Warrant</t>
        </is>
      </c>
      <c r="B10" s="44" t="inlineStr">
        <is>
          <t>CW2</t>
        </is>
      </c>
      <c r="C10" s="45" t="inlineStr">
        <is>
          <t>18</t>
        </is>
      </c>
      <c r="D10" s="45" t="inlineStr">
        <is>
          <t>24</t>
        </is>
      </c>
      <c r="E10" s="45" t="inlineStr">
        <is>
          <t>2</t>
        </is>
      </c>
      <c r="F10" s="44" t="inlineStr">
        <is>
          <t>WOBC complete</t>
        </is>
      </c>
      <c r="G10" s="44" t="inlineStr">
        <is>
          <t>DA</t>
        </is>
      </c>
      <c r="H10" s="45" t="inlineStr">
        <is>
          <t>~90%</t>
        </is>
      </c>
      <c r="I10" s="44" t="inlineStr">
        <is>
          <t>Nearly automatic with WOBC completion</t>
        </is>
      </c>
      <c r="J10" s="26" t="inlineStr">
        <is>
          <t>[DEMO]</t>
        </is>
      </c>
    </row>
    <row r="11">
      <c r="A11" s="44" t="inlineStr">
        <is>
          <t>Warrant</t>
        </is>
      </c>
      <c r="B11" s="44" t="inlineStr">
        <is>
          <t>CW3</t>
        </is>
      </c>
      <c r="C11" s="45" t="inlineStr">
        <is>
          <t>24</t>
        </is>
      </c>
      <c r="D11" s="45" t="inlineStr">
        <is>
          <t>36</t>
        </is>
      </c>
      <c r="E11" s="45" t="inlineStr">
        <is>
          <t>5</t>
        </is>
      </c>
      <c r="F11" s="44" t="inlineStr">
        <is>
          <t>WOAC complete</t>
        </is>
      </c>
      <c r="G11" s="44" t="inlineStr">
        <is>
          <t>DA</t>
        </is>
      </c>
      <c r="H11" s="45" t="inlineStr">
        <is>
          <t>~70%</t>
        </is>
      </c>
      <c r="I11" s="44" t="inlineStr">
        <is>
          <t>WOAC completion key</t>
        </is>
      </c>
      <c r="J11" s="26" t="inlineStr">
        <is>
          <t>[DEMO]</t>
        </is>
      </c>
    </row>
    <row r="12">
      <c r="A12" s="44" t="inlineStr">
        <is>
          <t>Warrant</t>
        </is>
      </c>
      <c r="B12" s="44" t="inlineStr">
        <is>
          <t>CW4</t>
        </is>
      </c>
      <c r="C12" s="45" t="inlineStr">
        <is>
          <t>24</t>
        </is>
      </c>
      <c r="D12" s="45" t="inlineStr">
        <is>
          <t>48</t>
        </is>
      </c>
      <c r="E12" s="45" t="inlineStr">
        <is>
          <t>8</t>
        </is>
      </c>
      <c r="F12" s="44" t="inlineStr">
        <is>
          <t>WOILE complete</t>
        </is>
      </c>
      <c r="G12" s="44" t="inlineStr">
        <is>
          <t>DA</t>
        </is>
      </c>
      <c r="H12" s="45" t="inlineStr">
        <is>
          <t>~50%</t>
        </is>
      </c>
      <c r="I12" s="44" t="inlineStr">
        <is>
          <t>Selective above CW3</t>
        </is>
      </c>
      <c r="J12" s="26" t="inlineStr">
        <is>
          <t>[DEMO]</t>
        </is>
      </c>
    </row>
    <row r="13">
      <c r="A13" s="44" t="inlineStr">
        <is>
          <t>Warrant</t>
        </is>
      </c>
      <c r="B13" s="44" t="inlineStr">
        <is>
          <t>CW5</t>
        </is>
      </c>
      <c r="C13" s="45" t="inlineStr">
        <is>
          <t>18</t>
        </is>
      </c>
      <c r="D13" s="45" t="inlineStr">
        <is>
          <t>72</t>
        </is>
      </c>
      <c r="E13" s="45" t="inlineStr">
        <is>
          <t>12</t>
        </is>
      </c>
      <c r="F13" s="44" t="inlineStr">
        <is>
          <t>WOSSE complete</t>
        </is>
      </c>
      <c r="G13" s="44" t="inlineStr">
        <is>
          <t>DA</t>
        </is>
      </c>
      <c r="H13" s="45" t="inlineStr">
        <is>
          <t>~15–20%</t>
        </is>
      </c>
      <c r="I13" s="44" t="inlineStr">
        <is>
          <t>Very limited; senior WO leadership</t>
        </is>
      </c>
      <c r="J13" s="26" t="inlineStr">
        <is>
          <t>[DEMO]</t>
        </is>
      </c>
    </row>
    <row r="14">
      <c r="A14" s="46" t="inlineStr">
        <is>
          <t>Officer</t>
        </is>
      </c>
      <c r="B14" s="46" t="inlineStr">
        <is>
          <t>1LT (O2)</t>
        </is>
      </c>
      <c r="C14" s="47" t="inlineStr">
        <is>
          <t>18</t>
        </is>
      </c>
      <c r="D14" s="47" t="inlineStr">
        <is>
          <t>18</t>
        </is>
      </c>
      <c r="E14" s="47" t="inlineStr">
        <is>
          <t>1.5</t>
        </is>
      </c>
      <c r="F14" s="46" t="inlineStr">
        <is>
          <t>N/A</t>
        </is>
      </c>
      <c r="G14" s="46" t="inlineStr">
        <is>
          <t>Time-based</t>
        </is>
      </c>
      <c r="H14" s="47" t="inlineStr">
        <is>
          <t>~98%</t>
        </is>
      </c>
      <c r="I14" s="46" t="inlineStr">
        <is>
          <t>Essentially automatic</t>
        </is>
      </c>
      <c r="J14" s="26" t="inlineStr">
        <is>
          <t>[DEMO]</t>
        </is>
      </c>
    </row>
    <row r="15">
      <c r="A15" s="48" t="inlineStr">
        <is>
          <t>Officer</t>
        </is>
      </c>
      <c r="B15" s="48" t="inlineStr">
        <is>
          <t>CPT (O3)</t>
        </is>
      </c>
      <c r="C15" s="49" t="inlineStr">
        <is>
          <t>24</t>
        </is>
      </c>
      <c r="D15" s="49" t="inlineStr">
        <is>
          <t>36</t>
        </is>
      </c>
      <c r="E15" s="49" t="inlineStr">
        <is>
          <t>4</t>
        </is>
      </c>
      <c r="F15" s="48" t="inlineStr">
        <is>
          <t>BOLC complete</t>
        </is>
      </c>
      <c r="G15" s="48" t="inlineStr">
        <is>
          <t>DA</t>
        </is>
      </c>
      <c r="H15" s="49" t="inlineStr">
        <is>
          <t>~85–90%</t>
        </is>
      </c>
      <c r="I15" s="48" t="inlineStr">
        <is>
          <t>CCC should be complete/enrolled</t>
        </is>
      </c>
      <c r="J15" s="26" t="inlineStr">
        <is>
          <t>[DEMO]</t>
        </is>
      </c>
    </row>
    <row r="16">
      <c r="A16" s="50" t="inlineStr">
        <is>
          <t>Officer</t>
        </is>
      </c>
      <c r="B16" s="50" t="inlineStr">
        <is>
          <t>MAJ (O4)</t>
        </is>
      </c>
      <c r="C16" s="51" t="inlineStr">
        <is>
          <t>36</t>
        </is>
      </c>
      <c r="D16" s="51" t="inlineStr">
        <is>
          <t>60</t>
        </is>
      </c>
      <c r="E16" s="51" t="inlineStr">
        <is>
          <t>8</t>
        </is>
      </c>
      <c r="F16" s="50" t="inlineStr">
        <is>
          <t>CCC complete</t>
        </is>
      </c>
      <c r="G16" s="50" t="inlineStr">
        <is>
          <t>DA</t>
        </is>
      </c>
      <c r="H16" s="51" t="inlineStr">
        <is>
          <t>~70–80%</t>
        </is>
      </c>
      <c r="I16" s="50" t="inlineStr">
        <is>
          <t>ILE completion strongly preferred</t>
        </is>
      </c>
      <c r="J16" s="26" t="inlineStr">
        <is>
          <t>[DEMO]</t>
        </is>
      </c>
    </row>
    <row r="17">
      <c r="A17" s="52" t="inlineStr">
        <is>
          <t>Officer</t>
        </is>
      </c>
      <c r="B17" s="52" t="inlineStr">
        <is>
          <t>LTC (O5)</t>
        </is>
      </c>
      <c r="C17" s="53" t="inlineStr">
        <is>
          <t>24</t>
        </is>
      </c>
      <c r="D17" s="53" t="inlineStr">
        <is>
          <t>84</t>
        </is>
      </c>
      <c r="E17" s="53" t="inlineStr">
        <is>
          <t>14</t>
        </is>
      </c>
      <c r="F17" s="52" t="inlineStr">
        <is>
          <t>ILE complete</t>
        </is>
      </c>
      <c r="G17" s="52" t="inlineStr">
        <is>
          <t>DA</t>
        </is>
      </c>
      <c r="H17" s="53" t="inlineStr">
        <is>
          <t>~50–60%</t>
        </is>
      </c>
      <c r="I17" s="52" t="inlineStr">
        <is>
          <t>Command and KD assignments critical</t>
        </is>
      </c>
      <c r="J17" s="26" t="inlineStr">
        <is>
          <t>[DEMO]</t>
        </is>
      </c>
    </row>
    <row r="18">
      <c r="A18" s="54" t="inlineStr">
        <is>
          <t>Officer</t>
        </is>
      </c>
      <c r="B18" s="54" t="inlineStr">
        <is>
          <t>COL (O6)</t>
        </is>
      </c>
      <c r="C18" s="55" t="inlineStr">
        <is>
          <t>36</t>
        </is>
      </c>
      <c r="D18" s="55" t="inlineStr">
        <is>
          <t>120</t>
        </is>
      </c>
      <c r="E18" s="55" t="inlineStr">
        <is>
          <t>18</t>
        </is>
      </c>
      <c r="F18" s="54" t="inlineStr">
        <is>
          <t>ILE; SSC preferred</t>
        </is>
      </c>
      <c r="G18" s="54" t="inlineStr">
        <is>
          <t>DA</t>
        </is>
      </c>
      <c r="H18" s="55" t="inlineStr">
        <is>
          <t>~20–30%</t>
        </is>
      </c>
      <c r="I18" s="54" t="inlineStr">
        <is>
          <t>SSC near mandatory; very competitive</t>
        </is>
      </c>
      <c r="J18" s="26" t="inlineStr">
        <is>
          <t>[DEMO]</t>
        </is>
      </c>
    </row>
  </sheetData>
  <autoFilter ref="A2:J18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45" customWidth="1" min="4" max="4"/>
  </cols>
  <sheetData>
    <row r="2" ht="28" customHeight="1">
      <c r="B2" s="56" t="inlineStr">
        <is>
          <t>ADMIN — TOOL CONFIGURATION SETTINGS</t>
        </is>
      </c>
    </row>
    <row r="4" ht="18" customHeight="1">
      <c r="B4" s="57" t="inlineStr">
        <is>
          <t>Tool Name</t>
        </is>
      </c>
      <c r="C4" s="58" t="inlineStr">
        <is>
          <t>MT ARNG Career Planner</t>
        </is>
      </c>
      <c r="D4" s="59" t="inlineStr">
        <is>
          <t>Display name in counseling sheet header</t>
        </is>
      </c>
    </row>
    <row r="5" ht="18" customHeight="1">
      <c r="B5" s="57" t="inlineStr">
        <is>
          <t>Tool Version</t>
        </is>
      </c>
      <c r="C5" s="58" t="inlineStr">
        <is>
          <t>1.0</t>
        </is>
      </c>
      <c r="D5" s="59" t="inlineStr">
        <is>
          <t>Update when reference data is refreshed</t>
        </is>
      </c>
    </row>
    <row r="6" ht="18" customHeight="1">
      <c r="B6" s="57" t="inlineStr">
        <is>
          <t>Data As Of Date</t>
        </is>
      </c>
      <c r="C6" s="58" t="inlineStr">
        <is>
          <t>2026-06-01</t>
        </is>
      </c>
      <c r="D6" s="59" t="inlineStr">
        <is>
          <t>Date reference data was last validated</t>
        </is>
      </c>
    </row>
    <row r="7" ht="18" customHeight="1">
      <c r="B7" s="57" t="inlineStr">
        <is>
          <t>Responsible Office</t>
        </is>
      </c>
      <c r="C7" s="58" t="inlineStr">
        <is>
          <t>MTARNG G1 / S1 Section</t>
        </is>
      </c>
      <c r="D7" s="59" t="inlineStr">
        <is>
          <t>Office responsible for maintaining this tool</t>
        </is>
      </c>
    </row>
    <row r="8" ht="18" customHeight="1">
      <c r="B8" s="57" t="inlineStr">
        <is>
          <t>Contact Email</t>
        </is>
      </c>
      <c r="C8" s="58" t="inlineStr">
        <is>
          <t>g1@mt.ngb.army.mil</t>
        </is>
      </c>
      <c r="D8" s="59" t="inlineStr">
        <is>
          <t>Admin contact for tool questions</t>
        </is>
      </c>
    </row>
    <row r="9" ht="18" customHeight="1">
      <c r="B9" s="57" t="inlineStr">
        <is>
          <t>State</t>
        </is>
      </c>
      <c r="C9" s="58" t="inlineStr">
        <is>
          <t>Montana</t>
        </is>
      </c>
      <c r="D9" s="59" t="inlineStr"/>
    </row>
    <row r="10" ht="18" customHeight="1"/>
    <row r="11" ht="18" customHeight="1">
      <c r="B11" s="60" t="inlineStr">
        <is>
          <t>SCORING WEIGHTS</t>
        </is>
      </c>
    </row>
    <row r="12" ht="18" customHeight="1">
      <c r="B12" s="57" t="inlineStr">
        <is>
          <t>Grade Match Weight</t>
        </is>
      </c>
      <c r="C12" s="58" t="n">
        <v>35</v>
      </c>
      <c r="D12" s="59" t="inlineStr">
        <is>
          <t>Points available for grade match (0–35)</t>
        </is>
      </c>
    </row>
    <row r="13" ht="18" customHeight="1">
      <c r="B13" s="57" t="inlineStr">
        <is>
          <t>MOS/AOC Match Weight</t>
        </is>
      </c>
      <c r="C13" s="58" t="n">
        <v>30</v>
      </c>
      <c r="D13" s="59" t="inlineStr">
        <is>
          <t>Points available for MOS match (0–30)</t>
        </is>
      </c>
    </row>
    <row r="14" ht="18" customHeight="1">
      <c r="B14" s="57" t="inlineStr">
        <is>
          <t>Commute Match Weight</t>
        </is>
      </c>
      <c r="C14" s="58" t="n">
        <v>15</v>
      </c>
      <c r="D14" s="59" t="inlineStr">
        <is>
          <t>Points available for commute fit (0–15)</t>
        </is>
      </c>
    </row>
    <row r="15" ht="18" customHeight="1">
      <c r="B15" s="57" t="inlineStr">
        <is>
          <t>Career Goal Weight</t>
        </is>
      </c>
      <c r="C15" s="58" t="n">
        <v>15</v>
      </c>
      <c r="D15" s="59" t="inlineStr">
        <is>
          <t>Points available for goal alignment (0–15)</t>
        </is>
      </c>
    </row>
    <row r="16" ht="18" customHeight="1">
      <c r="B16" s="57" t="inlineStr">
        <is>
          <t>Status Pref Weight</t>
        </is>
      </c>
      <c r="C16" s="58" t="n">
        <v>5</v>
      </c>
      <c r="D16" s="59" t="inlineStr">
        <is>
          <t>Points available for status preference (0–5)</t>
        </is>
      </c>
    </row>
    <row r="17" ht="18" customHeight="1"/>
    <row r="18" ht="18" customHeight="1">
      <c r="B18" s="60" t="inlineStr">
        <is>
          <t>MATCH LABELS</t>
        </is>
      </c>
    </row>
    <row r="19" ht="18" customHeight="1">
      <c r="B19" s="57" t="inlineStr">
        <is>
          <t>Strong Match Threshold</t>
        </is>
      </c>
      <c r="C19" s="58" t="n">
        <v>80</v>
      </c>
      <c r="D19" s="59" t="inlineStr">
        <is>
          <t>Score &gt;= this = STRONG MATCH</t>
        </is>
      </c>
    </row>
    <row r="20" ht="18" customHeight="1">
      <c r="B20" s="57" t="inlineStr">
        <is>
          <t>Good Match Threshold</t>
        </is>
      </c>
      <c r="C20" s="58" t="n">
        <v>60</v>
      </c>
      <c r="D20" s="59" t="inlineStr">
        <is>
          <t>Score &gt;= this = GOOD MATCH</t>
        </is>
      </c>
    </row>
    <row r="21" ht="18" customHeight="1">
      <c r="B21" s="57" t="inlineStr">
        <is>
          <t>Moderate Match Threshold</t>
        </is>
      </c>
      <c r="C21" s="58" t="n">
        <v>40</v>
      </c>
      <c r="D21" s="59" t="inlineStr">
        <is>
          <t>Score &gt;= this = MODERATE / STRETCH</t>
        </is>
      </c>
    </row>
    <row r="22" ht="18" customHeight="1">
      <c r="B22" s="57" t="inlineStr">
        <is>
          <t>Possible Match Threshold</t>
        </is>
      </c>
      <c r="C22" s="58" t="n">
        <v>20</v>
      </c>
      <c r="D22" s="59" t="inlineStr">
        <is>
          <t>Score &gt;= this = POSSIBLE — GAPS EXIST</t>
        </is>
      </c>
    </row>
    <row r="23" ht="18" customHeight="1">
      <c r="B23" s="57" t="inlineStr">
        <is>
          <t>Below Threshold Label</t>
        </is>
      </c>
      <c r="C23" s="58" t="inlineStr">
        <is>
          <t>NOT RECOMMENDED NOW</t>
        </is>
      </c>
      <c r="D23" s="59" t="inlineStr">
        <is>
          <t>Score &lt; Possible threshold</t>
        </is>
      </c>
    </row>
    <row r="24" ht="18" customHeight="1"/>
    <row r="25" ht="18" customHeight="1">
      <c r="B25" s="60" t="inlineStr">
        <is>
          <t>COMMUTE CATEGORIES</t>
        </is>
      </c>
    </row>
    <row r="26" ht="18" customHeight="1">
      <c r="B26" s="57" t="inlineStr">
        <is>
          <t>Short Commute Max (min)</t>
        </is>
      </c>
      <c r="C26" s="58" t="n">
        <v>30</v>
      </c>
      <c r="D26" s="59" t="inlineStr">
        <is>
          <t>Drive time &lt;= this = Short</t>
        </is>
      </c>
    </row>
    <row r="27" ht="18" customHeight="1">
      <c r="B27" s="57" t="inlineStr">
        <is>
          <t>Medium Commute Max (min)</t>
        </is>
      </c>
      <c r="C27" s="58" t="n">
        <v>90</v>
      </c>
      <c r="D27" s="59" t="inlineStr">
        <is>
          <t>Drive time &lt;= this = Medium</t>
        </is>
      </c>
    </row>
    <row r="28" ht="18" customHeight="1">
      <c r="B28" s="57" t="inlineStr">
        <is>
          <t>Long Commute Max (min)</t>
        </is>
      </c>
      <c r="C28" s="58" t="n">
        <v>150</v>
      </c>
      <c r="D28" s="59" t="inlineStr">
        <is>
          <t>Drive time &lt;= this = Long</t>
        </is>
      </c>
    </row>
    <row r="29" ht="18" customHeight="1">
      <c r="B29" s="57" t="inlineStr">
        <is>
          <t>Very Long Label</t>
        </is>
      </c>
      <c r="C29" s="58" t="inlineStr">
        <is>
          <t>Very Long / Consider Relocating</t>
        </is>
      </c>
      <c r="D29" s="59" t="inlineStr"/>
    </row>
  </sheetData>
  <mergeCells count="4">
    <mergeCell ref="B2:F2"/>
    <mergeCell ref="B11:D11"/>
    <mergeCell ref="B25:D25"/>
    <mergeCell ref="B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T3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0" customHeight="1">
      <c r="A1" s="90" t="inlineStr">
        <is>
          <t>CALC ENGINE — Hidden sheet. Do not edit. Contains matching scores that feed POSITION MATCHES sheet.</t>
        </is>
      </c>
    </row>
    <row r="2">
      <c r="A2" s="91" t="inlineStr">
        <is>
          <t>PosID</t>
        </is>
      </c>
      <c r="B2" s="91" t="inlineStr">
        <is>
          <t>Unit</t>
        </is>
      </c>
      <c r="C2" s="91" t="inlineStr">
        <is>
          <t>City</t>
        </is>
      </c>
      <c r="D2" s="91" t="inlineStr">
        <is>
          <t>Duty Title</t>
        </is>
      </c>
      <c r="E2" s="91" t="inlineStr">
        <is>
          <t>Grade</t>
        </is>
      </c>
      <c r="F2" s="91" t="inlineStr">
        <is>
          <t>Career Cat</t>
        </is>
      </c>
      <c r="G2" s="91" t="inlineStr">
        <is>
          <t>MOS</t>
        </is>
      </c>
      <c r="H2" s="91" t="inlineStr">
        <is>
          <t>PosType</t>
        </is>
      </c>
      <c r="I2" s="91" t="inlineStr">
        <is>
          <t>KD</t>
        </is>
      </c>
      <c r="J2" s="91" t="inlineStr">
        <is>
          <t>StatusType</t>
        </is>
      </c>
      <c r="K2" s="91" t="inlineStr">
        <is>
          <t>Vacancy</t>
        </is>
      </c>
      <c r="L2" s="91" t="inlineStr">
        <is>
          <t>ProjVac</t>
        </is>
      </c>
      <c r="M2" s="91" t="inlineStr">
        <is>
          <t>GradeScore</t>
        </is>
      </c>
      <c r="N2" s="91" t="inlineStr">
        <is>
          <t>MOSScore</t>
        </is>
      </c>
      <c r="O2" s="91" t="inlineStr">
        <is>
          <t>CommuteScore</t>
        </is>
      </c>
      <c r="P2" s="91" t="inlineStr">
        <is>
          <t>GoalScore</t>
        </is>
      </c>
      <c r="Q2" s="91" t="inlineStr">
        <is>
          <t>StatusScore</t>
        </is>
      </c>
      <c r="R2" s="91" t="inlineStr">
        <is>
          <t>TotalScore</t>
        </is>
      </c>
      <c r="S2" s="91" t="inlineStr">
        <is>
          <t>MatchLabel</t>
        </is>
      </c>
      <c r="T2" s="91" t="inlineStr">
        <is>
          <t>CommuteMins</t>
        </is>
      </c>
    </row>
    <row r="3">
      <c r="A3">
        <f>'ADMIN - POSITIONS'!A3</f>
        <v/>
      </c>
      <c r="B3">
        <f>'ADMIN - POSITIONS'!B3</f>
        <v/>
      </c>
      <c r="C3">
        <f>'ADMIN - POSITIONS'!D3</f>
        <v/>
      </c>
      <c r="D3">
        <f>'ADMIN - POSITIONS'!E3</f>
        <v/>
      </c>
      <c r="E3">
        <f>'ADMIN - POSITIONS'!F3</f>
        <v/>
      </c>
      <c r="F3">
        <f>'ADMIN - POSITIONS'!G3</f>
        <v/>
      </c>
      <c r="G3">
        <f>'ADMIN - POSITIONS'!H3</f>
        <v/>
      </c>
      <c r="H3">
        <f>'ADMIN - POSITIONS'!J3</f>
        <v/>
      </c>
      <c r="I3">
        <f>'ADMIN - POSITIONS'!K3</f>
        <v/>
      </c>
      <c r="J3">
        <f>'ADMIN - POSITIONS'!L3</f>
        <v/>
      </c>
      <c r="K3">
        <f>'ADMIN - POSITIONS'!M3</f>
        <v/>
      </c>
      <c r="L3">
        <f>'ADMIN - POSITIONS'!N3</f>
        <v/>
      </c>
      <c r="M3">
        <f>IF(E3=""," ",IF(EXACT(E3,'MY PROFILE'!E6)=FALSE,0,IF(AND(EXACT(F3,'MY PROFILE'!E6),EXACT(E3,'MY PROFILE'!C25)),35,IF(AND(EXACT(F3,'MY PROFILE'!E6),EXACT(E3,'MY PROFILE'!C6)),25,10))))</f>
        <v/>
      </c>
      <c r="N3">
        <f>IF(G3="","",IF(EXACT(G3,'MY PROFILE'!C7),30,IF(EXACT('MY PROFILE'!G27,"Yes"),10,0)))</f>
        <v/>
      </c>
      <c r="O3">
        <f>IF(T3=999,0,IF('MY PROFILE'!G10="No Limit",15,IF('MY PROFILE'!G10="30 Minutes",IF(T3&lt;=30,15,IF(T3&lt;=60,8,IF(T3&lt;=90,3,0))),IF('MY PROFILE'!G10="1 Hour",IF(T3&lt;=60,15,IF(T3&lt;=90,8,IF(T3&lt;=120,3,0))),IF('MY PROFILE'!G10="1.5 Hours",IF(T3&lt;=90,15,IF(T3&lt;=120,8,IF(T3&lt;=150,3,0))),IF('MY PROFILE'!G10="2 Hours",IF(T3&lt;=120,15,IF(T3&lt;=150,8,IF(T3&lt;=180,3,0))),IF('MY PROFILE'!G10="3 Hours",IF(T3&lt;=180,15,IF(T3&lt;=240,5,0)),15)))))))</f>
        <v/>
      </c>
      <c r="P3">
        <f>IF(EXACT('MY PROFILE'!C26,"Pursue Command"),IF(EXACT(I3,"Yes"),15,5),IF(EXACT('MY PROFILE'!C26,"Promote to Next Grade"),IF(EXACT(H3,"Leadership"),12,IF(EXACT(H3,"Staff"),10,8)),IF(EXACT('MY PROFILE'!C26,"Move to Staff"),IF(EXACT(H3,"Staff"),15,IF(EXACT(H3,"Technical"),10,5)),IF(EXACT('MY PROFILE'!C26,"Pursue AGR Full-Time"),IF(EXACT(J3,"AGR"),15,IF(EXACT(J3,"M-Day"),5,10)),8))))</f>
        <v/>
      </c>
      <c r="Q3">
        <f>IF(EXACT('MY PROFILE'!G6,"M-Day"),IF(EXACT(J3,"M-Day"),5,IF(EXACT(J3,"AGR"),1,3)),IF(EXACT('MY PROFILE'!G6,"AGR"),IF(EXACT(J3,"AGR"),5,IF(EXACT(J3,"M-Day"),2,3)),3))</f>
        <v/>
      </c>
      <c r="R3">
        <f>IFERROR(M3+N3+O3+P3+Q3,0)</f>
        <v/>
      </c>
      <c r="S3">
        <f>IF(R3&gt;=80,"STRONG MATCH",IF(R3&gt;=60,"GOOD MATCH",IF(R3&gt;=40,"MODERATE / STRETCH",IF(R3&gt;=20,"POSSIBLE — GAPS EXIST","NOT RECOMMENDED NOW"))))</f>
        <v/>
      </c>
      <c r="T3">
        <f>IFERROR(SUMPRODUCT(($A$231:$A$313='MY PROFILE'!C10)*($B$231:$B$313=C3)*($C$231:$C$313)),999)</f>
        <v/>
      </c>
    </row>
    <row r="4">
      <c r="A4">
        <f>'ADMIN - POSITIONS'!A4</f>
        <v/>
      </c>
      <c r="B4">
        <f>'ADMIN - POSITIONS'!B4</f>
        <v/>
      </c>
      <c r="C4">
        <f>'ADMIN - POSITIONS'!D4</f>
        <v/>
      </c>
      <c r="D4">
        <f>'ADMIN - POSITIONS'!E4</f>
        <v/>
      </c>
      <c r="E4">
        <f>'ADMIN - POSITIONS'!F4</f>
        <v/>
      </c>
      <c r="F4">
        <f>'ADMIN - POSITIONS'!G4</f>
        <v/>
      </c>
      <c r="G4">
        <f>'ADMIN - POSITIONS'!H4</f>
        <v/>
      </c>
      <c r="H4">
        <f>'ADMIN - POSITIONS'!J4</f>
        <v/>
      </c>
      <c r="I4">
        <f>'ADMIN - POSITIONS'!K4</f>
        <v/>
      </c>
      <c r="J4">
        <f>'ADMIN - POSITIONS'!L4</f>
        <v/>
      </c>
      <c r="K4">
        <f>'ADMIN - POSITIONS'!M4</f>
        <v/>
      </c>
      <c r="L4">
        <f>'ADMIN - POSITIONS'!N4</f>
        <v/>
      </c>
      <c r="M4">
        <f>IF(E4=""," ",IF(EXACT(E4,'MY PROFILE'!E6)=FALSE,0,IF(AND(EXACT(F4,'MY PROFILE'!E6),EXACT(E4,'MY PROFILE'!C25)),35,IF(AND(EXACT(F4,'MY PROFILE'!E6),EXACT(E4,'MY PROFILE'!C6)),25,10))))</f>
        <v/>
      </c>
      <c r="N4">
        <f>IF(G4="","",IF(EXACT(G4,'MY PROFILE'!C7),30,IF(EXACT('MY PROFILE'!G27,"Yes"),10,0)))</f>
        <v/>
      </c>
      <c r="O4">
        <f>IF(T4=999,0,IF('MY PROFILE'!G10="No Limit",15,IF('MY PROFILE'!G10="30 Minutes",IF(T4&lt;=30,15,IF(T4&lt;=60,8,IF(T4&lt;=90,3,0))),IF('MY PROFILE'!G10="1 Hour",IF(T4&lt;=60,15,IF(T4&lt;=90,8,IF(T4&lt;=120,3,0))),IF('MY PROFILE'!G10="1.5 Hours",IF(T4&lt;=90,15,IF(T4&lt;=120,8,IF(T4&lt;=150,3,0))),IF('MY PROFILE'!G10="2 Hours",IF(T4&lt;=120,15,IF(T4&lt;=150,8,IF(T4&lt;=180,3,0))),IF('MY PROFILE'!G10="3 Hours",IF(T4&lt;=180,15,IF(T4&lt;=240,5,0)),15)))))))</f>
        <v/>
      </c>
      <c r="P4">
        <f>IF(EXACT('MY PROFILE'!C26,"Pursue Command"),IF(EXACT(I4,"Yes"),15,5),IF(EXACT('MY PROFILE'!C26,"Promote to Next Grade"),IF(EXACT(H4,"Leadership"),12,IF(EXACT(H4,"Staff"),10,8)),IF(EXACT('MY PROFILE'!C26,"Move to Staff"),IF(EXACT(H4,"Staff"),15,IF(EXACT(H4,"Technical"),10,5)),IF(EXACT('MY PROFILE'!C26,"Pursue AGR Full-Time"),IF(EXACT(J4,"AGR"),15,IF(EXACT(J4,"M-Day"),5,10)),8))))</f>
        <v/>
      </c>
      <c r="Q4">
        <f>IF(EXACT('MY PROFILE'!G6,"M-Day"),IF(EXACT(J4,"M-Day"),5,IF(EXACT(J4,"AGR"),1,3)),IF(EXACT('MY PROFILE'!G6,"AGR"),IF(EXACT(J4,"AGR"),5,IF(EXACT(J4,"M-Day"),2,3)),3))</f>
        <v/>
      </c>
      <c r="R4">
        <f>IFERROR(M4+N4+O4+P4+Q4,0)</f>
        <v/>
      </c>
      <c r="S4">
        <f>IF(R4&gt;=80,"STRONG MATCH",IF(R4&gt;=60,"GOOD MATCH",IF(R4&gt;=40,"MODERATE / STRETCH",IF(R4&gt;=20,"POSSIBLE — GAPS EXIST","NOT RECOMMENDED NOW"))))</f>
        <v/>
      </c>
      <c r="T4">
        <f>IFERROR(SUMPRODUCT(($A$231:$A$313='MY PROFILE'!C10)*($B$231:$B$313=C4)*($C$231:$C$313)),999)</f>
        <v/>
      </c>
    </row>
    <row r="5">
      <c r="A5">
        <f>'ADMIN - POSITIONS'!A5</f>
        <v/>
      </c>
      <c r="B5">
        <f>'ADMIN - POSITIONS'!B5</f>
        <v/>
      </c>
      <c r="C5">
        <f>'ADMIN - POSITIONS'!D5</f>
        <v/>
      </c>
      <c r="D5">
        <f>'ADMIN - POSITIONS'!E5</f>
        <v/>
      </c>
      <c r="E5">
        <f>'ADMIN - POSITIONS'!F5</f>
        <v/>
      </c>
      <c r="F5">
        <f>'ADMIN - POSITIONS'!G5</f>
        <v/>
      </c>
      <c r="G5">
        <f>'ADMIN - POSITIONS'!H5</f>
        <v/>
      </c>
      <c r="H5">
        <f>'ADMIN - POSITIONS'!J5</f>
        <v/>
      </c>
      <c r="I5">
        <f>'ADMIN - POSITIONS'!K5</f>
        <v/>
      </c>
      <c r="J5">
        <f>'ADMIN - POSITIONS'!L5</f>
        <v/>
      </c>
      <c r="K5">
        <f>'ADMIN - POSITIONS'!M5</f>
        <v/>
      </c>
      <c r="L5">
        <f>'ADMIN - POSITIONS'!N5</f>
        <v/>
      </c>
      <c r="M5">
        <f>IF(E5=""," ",IF(EXACT(E5,'MY PROFILE'!E6)=FALSE,0,IF(AND(EXACT(F5,'MY PROFILE'!E6),EXACT(E5,'MY PROFILE'!C25)),35,IF(AND(EXACT(F5,'MY PROFILE'!E6),EXACT(E5,'MY PROFILE'!C6)),25,10))))</f>
        <v/>
      </c>
      <c r="N5">
        <f>IF(G5="","",IF(EXACT(G5,'MY PROFILE'!C7),30,IF(EXACT('MY PROFILE'!G27,"Yes"),10,0)))</f>
        <v/>
      </c>
      <c r="O5">
        <f>IF(T5=999,0,IF('MY PROFILE'!G10="No Limit",15,IF('MY PROFILE'!G10="30 Minutes",IF(T5&lt;=30,15,IF(T5&lt;=60,8,IF(T5&lt;=90,3,0))),IF('MY PROFILE'!G10="1 Hour",IF(T5&lt;=60,15,IF(T5&lt;=90,8,IF(T5&lt;=120,3,0))),IF('MY PROFILE'!G10="1.5 Hours",IF(T5&lt;=90,15,IF(T5&lt;=120,8,IF(T5&lt;=150,3,0))),IF('MY PROFILE'!G10="2 Hours",IF(T5&lt;=120,15,IF(T5&lt;=150,8,IF(T5&lt;=180,3,0))),IF('MY PROFILE'!G10="3 Hours",IF(T5&lt;=180,15,IF(T5&lt;=240,5,0)),15)))))))</f>
        <v/>
      </c>
      <c r="P5">
        <f>IF(EXACT('MY PROFILE'!C26,"Pursue Command"),IF(EXACT(I5,"Yes"),15,5),IF(EXACT('MY PROFILE'!C26,"Promote to Next Grade"),IF(EXACT(H5,"Leadership"),12,IF(EXACT(H5,"Staff"),10,8)),IF(EXACT('MY PROFILE'!C26,"Move to Staff"),IF(EXACT(H5,"Staff"),15,IF(EXACT(H5,"Technical"),10,5)),IF(EXACT('MY PROFILE'!C26,"Pursue AGR Full-Time"),IF(EXACT(J5,"AGR"),15,IF(EXACT(J5,"M-Day"),5,10)),8))))</f>
        <v/>
      </c>
      <c r="Q5">
        <f>IF(EXACT('MY PROFILE'!G6,"M-Day"),IF(EXACT(J5,"M-Day"),5,IF(EXACT(J5,"AGR"),1,3)),IF(EXACT('MY PROFILE'!G6,"AGR"),IF(EXACT(J5,"AGR"),5,IF(EXACT(J5,"M-Day"),2,3)),3))</f>
        <v/>
      </c>
      <c r="R5">
        <f>IFERROR(M5+N5+O5+P5+Q5,0)</f>
        <v/>
      </c>
      <c r="S5">
        <f>IF(R5&gt;=80,"STRONG MATCH",IF(R5&gt;=60,"GOOD MATCH",IF(R5&gt;=40,"MODERATE / STRETCH",IF(R5&gt;=20,"POSSIBLE — GAPS EXIST","NOT RECOMMENDED NOW"))))</f>
        <v/>
      </c>
      <c r="T5">
        <f>IFERROR(SUMPRODUCT(($A$231:$A$313='MY PROFILE'!C10)*($B$231:$B$313=C5)*($C$231:$C$313)),999)</f>
        <v/>
      </c>
    </row>
    <row r="6">
      <c r="A6">
        <f>'ADMIN - POSITIONS'!A6</f>
        <v/>
      </c>
      <c r="B6">
        <f>'ADMIN - POSITIONS'!B6</f>
        <v/>
      </c>
      <c r="C6">
        <f>'ADMIN - POSITIONS'!D6</f>
        <v/>
      </c>
      <c r="D6">
        <f>'ADMIN - POSITIONS'!E6</f>
        <v/>
      </c>
      <c r="E6">
        <f>'ADMIN - POSITIONS'!F6</f>
        <v/>
      </c>
      <c r="F6">
        <f>'ADMIN - POSITIONS'!G6</f>
        <v/>
      </c>
      <c r="G6">
        <f>'ADMIN - POSITIONS'!H6</f>
        <v/>
      </c>
      <c r="H6">
        <f>'ADMIN - POSITIONS'!J6</f>
        <v/>
      </c>
      <c r="I6">
        <f>'ADMIN - POSITIONS'!K6</f>
        <v/>
      </c>
      <c r="J6">
        <f>'ADMIN - POSITIONS'!L6</f>
        <v/>
      </c>
      <c r="K6">
        <f>'ADMIN - POSITIONS'!M6</f>
        <v/>
      </c>
      <c r="L6">
        <f>'ADMIN - POSITIONS'!N6</f>
        <v/>
      </c>
      <c r="M6">
        <f>IF(E6=""," ",IF(EXACT(E6,'MY PROFILE'!E6)=FALSE,0,IF(AND(EXACT(F6,'MY PROFILE'!E6),EXACT(E6,'MY PROFILE'!C25)),35,IF(AND(EXACT(F6,'MY PROFILE'!E6),EXACT(E6,'MY PROFILE'!C6)),25,10))))</f>
        <v/>
      </c>
      <c r="N6">
        <f>IF(G6="","",IF(EXACT(G6,'MY PROFILE'!C7),30,IF(EXACT('MY PROFILE'!G27,"Yes"),10,0)))</f>
        <v/>
      </c>
      <c r="O6">
        <f>IF(T6=999,0,IF('MY PROFILE'!G10="No Limit",15,IF('MY PROFILE'!G10="30 Minutes",IF(T6&lt;=30,15,IF(T6&lt;=60,8,IF(T6&lt;=90,3,0))),IF('MY PROFILE'!G10="1 Hour",IF(T6&lt;=60,15,IF(T6&lt;=90,8,IF(T6&lt;=120,3,0))),IF('MY PROFILE'!G10="1.5 Hours",IF(T6&lt;=90,15,IF(T6&lt;=120,8,IF(T6&lt;=150,3,0))),IF('MY PROFILE'!G10="2 Hours",IF(T6&lt;=120,15,IF(T6&lt;=150,8,IF(T6&lt;=180,3,0))),IF('MY PROFILE'!G10="3 Hours",IF(T6&lt;=180,15,IF(T6&lt;=240,5,0)),15)))))))</f>
        <v/>
      </c>
      <c r="P6">
        <f>IF(EXACT('MY PROFILE'!C26,"Pursue Command"),IF(EXACT(I6,"Yes"),15,5),IF(EXACT('MY PROFILE'!C26,"Promote to Next Grade"),IF(EXACT(H6,"Leadership"),12,IF(EXACT(H6,"Staff"),10,8)),IF(EXACT('MY PROFILE'!C26,"Move to Staff"),IF(EXACT(H6,"Staff"),15,IF(EXACT(H6,"Technical"),10,5)),IF(EXACT('MY PROFILE'!C26,"Pursue AGR Full-Time"),IF(EXACT(J6,"AGR"),15,IF(EXACT(J6,"M-Day"),5,10)),8))))</f>
        <v/>
      </c>
      <c r="Q6">
        <f>IF(EXACT('MY PROFILE'!G6,"M-Day"),IF(EXACT(J6,"M-Day"),5,IF(EXACT(J6,"AGR"),1,3)),IF(EXACT('MY PROFILE'!G6,"AGR"),IF(EXACT(J6,"AGR"),5,IF(EXACT(J6,"M-Day"),2,3)),3))</f>
        <v/>
      </c>
      <c r="R6">
        <f>IFERROR(M6+N6+O6+P6+Q6,0)</f>
        <v/>
      </c>
      <c r="S6">
        <f>IF(R6&gt;=80,"STRONG MATCH",IF(R6&gt;=60,"GOOD MATCH",IF(R6&gt;=40,"MODERATE / STRETCH",IF(R6&gt;=20,"POSSIBLE — GAPS EXIST","NOT RECOMMENDED NOW"))))</f>
        <v/>
      </c>
      <c r="T6">
        <f>IFERROR(SUMPRODUCT(($A$231:$A$313='MY PROFILE'!C10)*($B$231:$B$313=C6)*($C$231:$C$313)),999)</f>
        <v/>
      </c>
    </row>
    <row r="7">
      <c r="A7">
        <f>'ADMIN - POSITIONS'!A7</f>
        <v/>
      </c>
      <c r="B7">
        <f>'ADMIN - POSITIONS'!B7</f>
        <v/>
      </c>
      <c r="C7">
        <f>'ADMIN - POSITIONS'!D7</f>
        <v/>
      </c>
      <c r="D7">
        <f>'ADMIN - POSITIONS'!E7</f>
        <v/>
      </c>
      <c r="E7">
        <f>'ADMIN - POSITIONS'!F7</f>
        <v/>
      </c>
      <c r="F7">
        <f>'ADMIN - POSITIONS'!G7</f>
        <v/>
      </c>
      <c r="G7">
        <f>'ADMIN - POSITIONS'!H7</f>
        <v/>
      </c>
      <c r="H7">
        <f>'ADMIN - POSITIONS'!J7</f>
        <v/>
      </c>
      <c r="I7">
        <f>'ADMIN - POSITIONS'!K7</f>
        <v/>
      </c>
      <c r="J7">
        <f>'ADMIN - POSITIONS'!L7</f>
        <v/>
      </c>
      <c r="K7">
        <f>'ADMIN - POSITIONS'!M7</f>
        <v/>
      </c>
      <c r="L7">
        <f>'ADMIN - POSITIONS'!N7</f>
        <v/>
      </c>
      <c r="M7">
        <f>IF(E7=""," ",IF(EXACT(E7,'MY PROFILE'!E6)=FALSE,0,IF(AND(EXACT(F7,'MY PROFILE'!E6),EXACT(E7,'MY PROFILE'!C25)),35,IF(AND(EXACT(F7,'MY PROFILE'!E6),EXACT(E7,'MY PROFILE'!C6)),25,10))))</f>
        <v/>
      </c>
      <c r="N7">
        <f>IF(G7="","",IF(EXACT(G7,'MY PROFILE'!C7),30,IF(EXACT('MY PROFILE'!G27,"Yes"),10,0)))</f>
        <v/>
      </c>
      <c r="O7">
        <f>IF(T7=999,0,IF('MY PROFILE'!G10="No Limit",15,IF('MY PROFILE'!G10="30 Minutes",IF(T7&lt;=30,15,IF(T7&lt;=60,8,IF(T7&lt;=90,3,0))),IF('MY PROFILE'!G10="1 Hour",IF(T7&lt;=60,15,IF(T7&lt;=90,8,IF(T7&lt;=120,3,0))),IF('MY PROFILE'!G10="1.5 Hours",IF(T7&lt;=90,15,IF(T7&lt;=120,8,IF(T7&lt;=150,3,0))),IF('MY PROFILE'!G10="2 Hours",IF(T7&lt;=120,15,IF(T7&lt;=150,8,IF(T7&lt;=180,3,0))),IF('MY PROFILE'!G10="3 Hours",IF(T7&lt;=180,15,IF(T7&lt;=240,5,0)),15)))))))</f>
        <v/>
      </c>
      <c r="P7">
        <f>IF(EXACT('MY PROFILE'!C26,"Pursue Command"),IF(EXACT(I7,"Yes"),15,5),IF(EXACT('MY PROFILE'!C26,"Promote to Next Grade"),IF(EXACT(H7,"Leadership"),12,IF(EXACT(H7,"Staff"),10,8)),IF(EXACT('MY PROFILE'!C26,"Move to Staff"),IF(EXACT(H7,"Staff"),15,IF(EXACT(H7,"Technical"),10,5)),IF(EXACT('MY PROFILE'!C26,"Pursue AGR Full-Time"),IF(EXACT(J7,"AGR"),15,IF(EXACT(J7,"M-Day"),5,10)),8))))</f>
        <v/>
      </c>
      <c r="Q7">
        <f>IF(EXACT('MY PROFILE'!G6,"M-Day"),IF(EXACT(J7,"M-Day"),5,IF(EXACT(J7,"AGR"),1,3)),IF(EXACT('MY PROFILE'!G6,"AGR"),IF(EXACT(J7,"AGR"),5,IF(EXACT(J7,"M-Day"),2,3)),3))</f>
        <v/>
      </c>
      <c r="R7">
        <f>IFERROR(M7+N7+O7+P7+Q7,0)</f>
        <v/>
      </c>
      <c r="S7">
        <f>IF(R7&gt;=80,"STRONG MATCH",IF(R7&gt;=60,"GOOD MATCH",IF(R7&gt;=40,"MODERATE / STRETCH",IF(R7&gt;=20,"POSSIBLE — GAPS EXIST","NOT RECOMMENDED NOW"))))</f>
        <v/>
      </c>
      <c r="T7">
        <f>IFERROR(SUMPRODUCT(($A$231:$A$313='MY PROFILE'!C10)*($B$231:$B$313=C7)*($C$231:$C$313)),999)</f>
        <v/>
      </c>
    </row>
    <row r="8">
      <c r="A8">
        <f>'ADMIN - POSITIONS'!A8</f>
        <v/>
      </c>
      <c r="B8">
        <f>'ADMIN - POSITIONS'!B8</f>
        <v/>
      </c>
      <c r="C8">
        <f>'ADMIN - POSITIONS'!D8</f>
        <v/>
      </c>
      <c r="D8">
        <f>'ADMIN - POSITIONS'!E8</f>
        <v/>
      </c>
      <c r="E8">
        <f>'ADMIN - POSITIONS'!F8</f>
        <v/>
      </c>
      <c r="F8">
        <f>'ADMIN - POSITIONS'!G8</f>
        <v/>
      </c>
      <c r="G8">
        <f>'ADMIN - POSITIONS'!H8</f>
        <v/>
      </c>
      <c r="H8">
        <f>'ADMIN - POSITIONS'!J8</f>
        <v/>
      </c>
      <c r="I8">
        <f>'ADMIN - POSITIONS'!K8</f>
        <v/>
      </c>
      <c r="J8">
        <f>'ADMIN - POSITIONS'!L8</f>
        <v/>
      </c>
      <c r="K8">
        <f>'ADMIN - POSITIONS'!M8</f>
        <v/>
      </c>
      <c r="L8">
        <f>'ADMIN - POSITIONS'!N8</f>
        <v/>
      </c>
      <c r="M8">
        <f>IF(E8=""," ",IF(EXACT(E8,'MY PROFILE'!E6)=FALSE,0,IF(AND(EXACT(F8,'MY PROFILE'!E6),EXACT(E8,'MY PROFILE'!C25)),35,IF(AND(EXACT(F8,'MY PROFILE'!E6),EXACT(E8,'MY PROFILE'!C6)),25,10))))</f>
        <v/>
      </c>
      <c r="N8">
        <f>IF(G8="","",IF(EXACT(G8,'MY PROFILE'!C7),30,IF(EXACT('MY PROFILE'!G27,"Yes"),10,0)))</f>
        <v/>
      </c>
      <c r="O8">
        <f>IF(T8=999,0,IF('MY PROFILE'!G10="No Limit",15,IF('MY PROFILE'!G10="30 Minutes",IF(T8&lt;=30,15,IF(T8&lt;=60,8,IF(T8&lt;=90,3,0))),IF('MY PROFILE'!G10="1 Hour",IF(T8&lt;=60,15,IF(T8&lt;=90,8,IF(T8&lt;=120,3,0))),IF('MY PROFILE'!G10="1.5 Hours",IF(T8&lt;=90,15,IF(T8&lt;=120,8,IF(T8&lt;=150,3,0))),IF('MY PROFILE'!G10="2 Hours",IF(T8&lt;=120,15,IF(T8&lt;=150,8,IF(T8&lt;=180,3,0))),IF('MY PROFILE'!G10="3 Hours",IF(T8&lt;=180,15,IF(T8&lt;=240,5,0)),15)))))))</f>
        <v/>
      </c>
      <c r="P8">
        <f>IF(EXACT('MY PROFILE'!C26,"Pursue Command"),IF(EXACT(I8,"Yes"),15,5),IF(EXACT('MY PROFILE'!C26,"Promote to Next Grade"),IF(EXACT(H8,"Leadership"),12,IF(EXACT(H8,"Staff"),10,8)),IF(EXACT('MY PROFILE'!C26,"Move to Staff"),IF(EXACT(H8,"Staff"),15,IF(EXACT(H8,"Technical"),10,5)),IF(EXACT('MY PROFILE'!C26,"Pursue AGR Full-Time"),IF(EXACT(J8,"AGR"),15,IF(EXACT(J8,"M-Day"),5,10)),8))))</f>
        <v/>
      </c>
      <c r="Q8">
        <f>IF(EXACT('MY PROFILE'!G6,"M-Day"),IF(EXACT(J8,"M-Day"),5,IF(EXACT(J8,"AGR"),1,3)),IF(EXACT('MY PROFILE'!G6,"AGR"),IF(EXACT(J8,"AGR"),5,IF(EXACT(J8,"M-Day"),2,3)),3))</f>
        <v/>
      </c>
      <c r="R8">
        <f>IFERROR(M8+N8+O8+P8+Q8,0)</f>
        <v/>
      </c>
      <c r="S8">
        <f>IF(R8&gt;=80,"STRONG MATCH",IF(R8&gt;=60,"GOOD MATCH",IF(R8&gt;=40,"MODERATE / STRETCH",IF(R8&gt;=20,"POSSIBLE — GAPS EXIST","NOT RECOMMENDED NOW"))))</f>
        <v/>
      </c>
      <c r="T8">
        <f>IFERROR(SUMPRODUCT(($A$231:$A$313='MY PROFILE'!C10)*($B$231:$B$313=C8)*($C$231:$C$313)),999)</f>
        <v/>
      </c>
    </row>
    <row r="9">
      <c r="A9">
        <f>'ADMIN - POSITIONS'!A9</f>
        <v/>
      </c>
      <c r="B9">
        <f>'ADMIN - POSITIONS'!B9</f>
        <v/>
      </c>
      <c r="C9">
        <f>'ADMIN - POSITIONS'!D9</f>
        <v/>
      </c>
      <c r="D9">
        <f>'ADMIN - POSITIONS'!E9</f>
        <v/>
      </c>
      <c r="E9">
        <f>'ADMIN - POSITIONS'!F9</f>
        <v/>
      </c>
      <c r="F9">
        <f>'ADMIN - POSITIONS'!G9</f>
        <v/>
      </c>
      <c r="G9">
        <f>'ADMIN - POSITIONS'!H9</f>
        <v/>
      </c>
      <c r="H9">
        <f>'ADMIN - POSITIONS'!J9</f>
        <v/>
      </c>
      <c r="I9">
        <f>'ADMIN - POSITIONS'!K9</f>
        <v/>
      </c>
      <c r="J9">
        <f>'ADMIN - POSITIONS'!L9</f>
        <v/>
      </c>
      <c r="K9">
        <f>'ADMIN - POSITIONS'!M9</f>
        <v/>
      </c>
      <c r="L9">
        <f>'ADMIN - POSITIONS'!N9</f>
        <v/>
      </c>
      <c r="M9">
        <f>IF(E9=""," ",IF(EXACT(E9,'MY PROFILE'!E6)=FALSE,0,IF(AND(EXACT(F9,'MY PROFILE'!E6),EXACT(E9,'MY PROFILE'!C25)),35,IF(AND(EXACT(F9,'MY PROFILE'!E6),EXACT(E9,'MY PROFILE'!C6)),25,10))))</f>
        <v/>
      </c>
      <c r="N9">
        <f>IF(G9="","",IF(EXACT(G9,'MY PROFILE'!C7),30,IF(EXACT('MY PROFILE'!G27,"Yes"),10,0)))</f>
        <v/>
      </c>
      <c r="O9">
        <f>IF(T9=999,0,IF('MY PROFILE'!G10="No Limit",15,IF('MY PROFILE'!G10="30 Minutes",IF(T9&lt;=30,15,IF(T9&lt;=60,8,IF(T9&lt;=90,3,0))),IF('MY PROFILE'!G10="1 Hour",IF(T9&lt;=60,15,IF(T9&lt;=90,8,IF(T9&lt;=120,3,0))),IF('MY PROFILE'!G10="1.5 Hours",IF(T9&lt;=90,15,IF(T9&lt;=120,8,IF(T9&lt;=150,3,0))),IF('MY PROFILE'!G10="2 Hours",IF(T9&lt;=120,15,IF(T9&lt;=150,8,IF(T9&lt;=180,3,0))),IF('MY PROFILE'!G10="3 Hours",IF(T9&lt;=180,15,IF(T9&lt;=240,5,0)),15)))))))</f>
        <v/>
      </c>
      <c r="P9">
        <f>IF(EXACT('MY PROFILE'!C26,"Pursue Command"),IF(EXACT(I9,"Yes"),15,5),IF(EXACT('MY PROFILE'!C26,"Promote to Next Grade"),IF(EXACT(H9,"Leadership"),12,IF(EXACT(H9,"Staff"),10,8)),IF(EXACT('MY PROFILE'!C26,"Move to Staff"),IF(EXACT(H9,"Staff"),15,IF(EXACT(H9,"Technical"),10,5)),IF(EXACT('MY PROFILE'!C26,"Pursue AGR Full-Time"),IF(EXACT(J9,"AGR"),15,IF(EXACT(J9,"M-Day"),5,10)),8))))</f>
        <v/>
      </c>
      <c r="Q9">
        <f>IF(EXACT('MY PROFILE'!G6,"M-Day"),IF(EXACT(J9,"M-Day"),5,IF(EXACT(J9,"AGR"),1,3)),IF(EXACT('MY PROFILE'!G6,"AGR"),IF(EXACT(J9,"AGR"),5,IF(EXACT(J9,"M-Day"),2,3)),3))</f>
        <v/>
      </c>
      <c r="R9">
        <f>IFERROR(M9+N9+O9+P9+Q9,0)</f>
        <v/>
      </c>
      <c r="S9">
        <f>IF(R9&gt;=80,"STRONG MATCH",IF(R9&gt;=60,"GOOD MATCH",IF(R9&gt;=40,"MODERATE / STRETCH",IF(R9&gt;=20,"POSSIBLE — GAPS EXIST","NOT RECOMMENDED NOW"))))</f>
        <v/>
      </c>
      <c r="T9">
        <f>IFERROR(SUMPRODUCT(($A$231:$A$313='MY PROFILE'!C10)*($B$231:$B$313=C9)*($C$231:$C$313)),999)</f>
        <v/>
      </c>
    </row>
    <row r="10">
      <c r="A10">
        <f>'ADMIN - POSITIONS'!A10</f>
        <v/>
      </c>
      <c r="B10">
        <f>'ADMIN - POSITIONS'!B10</f>
        <v/>
      </c>
      <c r="C10">
        <f>'ADMIN - POSITIONS'!D10</f>
        <v/>
      </c>
      <c r="D10">
        <f>'ADMIN - POSITIONS'!E10</f>
        <v/>
      </c>
      <c r="E10">
        <f>'ADMIN - POSITIONS'!F10</f>
        <v/>
      </c>
      <c r="F10">
        <f>'ADMIN - POSITIONS'!G10</f>
        <v/>
      </c>
      <c r="G10">
        <f>'ADMIN - POSITIONS'!H10</f>
        <v/>
      </c>
      <c r="H10">
        <f>'ADMIN - POSITIONS'!J10</f>
        <v/>
      </c>
      <c r="I10">
        <f>'ADMIN - POSITIONS'!K10</f>
        <v/>
      </c>
      <c r="J10">
        <f>'ADMIN - POSITIONS'!L10</f>
        <v/>
      </c>
      <c r="K10">
        <f>'ADMIN - POSITIONS'!M10</f>
        <v/>
      </c>
      <c r="L10">
        <f>'ADMIN - POSITIONS'!N10</f>
        <v/>
      </c>
      <c r="M10">
        <f>IF(E10=""," ",IF(EXACT(E10,'MY PROFILE'!E6)=FALSE,0,IF(AND(EXACT(F10,'MY PROFILE'!E6),EXACT(E10,'MY PROFILE'!C25)),35,IF(AND(EXACT(F10,'MY PROFILE'!E6),EXACT(E10,'MY PROFILE'!C6)),25,10))))</f>
        <v/>
      </c>
      <c r="N10">
        <f>IF(G10="","",IF(EXACT(G10,'MY PROFILE'!C7),30,IF(EXACT('MY PROFILE'!G27,"Yes"),10,0)))</f>
        <v/>
      </c>
      <c r="O10">
        <f>IF(T10=999,0,IF('MY PROFILE'!G10="No Limit",15,IF('MY PROFILE'!G10="30 Minutes",IF(T10&lt;=30,15,IF(T10&lt;=60,8,IF(T10&lt;=90,3,0))),IF('MY PROFILE'!G10="1 Hour",IF(T10&lt;=60,15,IF(T10&lt;=90,8,IF(T10&lt;=120,3,0))),IF('MY PROFILE'!G10="1.5 Hours",IF(T10&lt;=90,15,IF(T10&lt;=120,8,IF(T10&lt;=150,3,0))),IF('MY PROFILE'!G10="2 Hours",IF(T10&lt;=120,15,IF(T10&lt;=150,8,IF(T10&lt;=180,3,0))),IF('MY PROFILE'!G10="3 Hours",IF(T10&lt;=180,15,IF(T10&lt;=240,5,0)),15)))))))</f>
        <v/>
      </c>
      <c r="P10">
        <f>IF(EXACT('MY PROFILE'!C26,"Pursue Command"),IF(EXACT(I10,"Yes"),15,5),IF(EXACT('MY PROFILE'!C26,"Promote to Next Grade"),IF(EXACT(H10,"Leadership"),12,IF(EXACT(H10,"Staff"),10,8)),IF(EXACT('MY PROFILE'!C26,"Move to Staff"),IF(EXACT(H10,"Staff"),15,IF(EXACT(H10,"Technical"),10,5)),IF(EXACT('MY PROFILE'!C26,"Pursue AGR Full-Time"),IF(EXACT(J10,"AGR"),15,IF(EXACT(J10,"M-Day"),5,10)),8))))</f>
        <v/>
      </c>
      <c r="Q10">
        <f>IF(EXACT('MY PROFILE'!G6,"M-Day"),IF(EXACT(J10,"M-Day"),5,IF(EXACT(J10,"AGR"),1,3)),IF(EXACT('MY PROFILE'!G6,"AGR"),IF(EXACT(J10,"AGR"),5,IF(EXACT(J10,"M-Day"),2,3)),3))</f>
        <v/>
      </c>
      <c r="R10">
        <f>IFERROR(M10+N10+O10+P10+Q10,0)</f>
        <v/>
      </c>
      <c r="S10">
        <f>IF(R10&gt;=80,"STRONG MATCH",IF(R10&gt;=60,"GOOD MATCH",IF(R10&gt;=40,"MODERATE / STRETCH",IF(R10&gt;=20,"POSSIBLE — GAPS EXIST","NOT RECOMMENDED NOW"))))</f>
        <v/>
      </c>
      <c r="T10">
        <f>IFERROR(SUMPRODUCT(($A$231:$A$313='MY PROFILE'!C10)*($B$231:$B$313=C10)*($C$231:$C$313)),999)</f>
        <v/>
      </c>
    </row>
    <row r="11">
      <c r="A11">
        <f>'ADMIN - POSITIONS'!A11</f>
        <v/>
      </c>
      <c r="B11">
        <f>'ADMIN - POSITIONS'!B11</f>
        <v/>
      </c>
      <c r="C11">
        <f>'ADMIN - POSITIONS'!D11</f>
        <v/>
      </c>
      <c r="D11">
        <f>'ADMIN - POSITIONS'!E11</f>
        <v/>
      </c>
      <c r="E11">
        <f>'ADMIN - POSITIONS'!F11</f>
        <v/>
      </c>
      <c r="F11">
        <f>'ADMIN - POSITIONS'!G11</f>
        <v/>
      </c>
      <c r="G11">
        <f>'ADMIN - POSITIONS'!H11</f>
        <v/>
      </c>
      <c r="H11">
        <f>'ADMIN - POSITIONS'!J11</f>
        <v/>
      </c>
      <c r="I11">
        <f>'ADMIN - POSITIONS'!K11</f>
        <v/>
      </c>
      <c r="J11">
        <f>'ADMIN - POSITIONS'!L11</f>
        <v/>
      </c>
      <c r="K11">
        <f>'ADMIN - POSITIONS'!M11</f>
        <v/>
      </c>
      <c r="L11">
        <f>'ADMIN - POSITIONS'!N11</f>
        <v/>
      </c>
      <c r="M11">
        <f>IF(E11=""," ",IF(EXACT(E11,'MY PROFILE'!E6)=FALSE,0,IF(AND(EXACT(F11,'MY PROFILE'!E6),EXACT(E11,'MY PROFILE'!C25)),35,IF(AND(EXACT(F11,'MY PROFILE'!E6),EXACT(E11,'MY PROFILE'!C6)),25,10))))</f>
        <v/>
      </c>
      <c r="N11">
        <f>IF(G11="","",IF(EXACT(G11,'MY PROFILE'!C7),30,IF(EXACT('MY PROFILE'!G27,"Yes"),10,0)))</f>
        <v/>
      </c>
      <c r="O11">
        <f>IF(T11=999,0,IF('MY PROFILE'!G10="No Limit",15,IF('MY PROFILE'!G10="30 Minutes",IF(T11&lt;=30,15,IF(T11&lt;=60,8,IF(T11&lt;=90,3,0))),IF('MY PROFILE'!G10="1 Hour",IF(T11&lt;=60,15,IF(T11&lt;=90,8,IF(T11&lt;=120,3,0))),IF('MY PROFILE'!G10="1.5 Hours",IF(T11&lt;=90,15,IF(T11&lt;=120,8,IF(T11&lt;=150,3,0))),IF('MY PROFILE'!G10="2 Hours",IF(T11&lt;=120,15,IF(T11&lt;=150,8,IF(T11&lt;=180,3,0))),IF('MY PROFILE'!G10="3 Hours",IF(T11&lt;=180,15,IF(T11&lt;=240,5,0)),15)))))))</f>
        <v/>
      </c>
      <c r="P11">
        <f>IF(EXACT('MY PROFILE'!C26,"Pursue Command"),IF(EXACT(I11,"Yes"),15,5),IF(EXACT('MY PROFILE'!C26,"Promote to Next Grade"),IF(EXACT(H11,"Leadership"),12,IF(EXACT(H11,"Staff"),10,8)),IF(EXACT('MY PROFILE'!C26,"Move to Staff"),IF(EXACT(H11,"Staff"),15,IF(EXACT(H11,"Technical"),10,5)),IF(EXACT('MY PROFILE'!C26,"Pursue AGR Full-Time"),IF(EXACT(J11,"AGR"),15,IF(EXACT(J11,"M-Day"),5,10)),8))))</f>
        <v/>
      </c>
      <c r="Q11">
        <f>IF(EXACT('MY PROFILE'!G6,"M-Day"),IF(EXACT(J11,"M-Day"),5,IF(EXACT(J11,"AGR"),1,3)),IF(EXACT('MY PROFILE'!G6,"AGR"),IF(EXACT(J11,"AGR"),5,IF(EXACT(J11,"M-Day"),2,3)),3))</f>
        <v/>
      </c>
      <c r="R11">
        <f>IFERROR(M11+N11+O11+P11+Q11,0)</f>
        <v/>
      </c>
      <c r="S11">
        <f>IF(R11&gt;=80,"STRONG MATCH",IF(R11&gt;=60,"GOOD MATCH",IF(R11&gt;=40,"MODERATE / STRETCH",IF(R11&gt;=20,"POSSIBLE — GAPS EXIST","NOT RECOMMENDED NOW"))))</f>
        <v/>
      </c>
      <c r="T11">
        <f>IFERROR(SUMPRODUCT(($A$231:$A$313='MY PROFILE'!C10)*($B$231:$B$313=C11)*($C$231:$C$313)),999)</f>
        <v/>
      </c>
    </row>
    <row r="12">
      <c r="A12">
        <f>'ADMIN - POSITIONS'!A12</f>
        <v/>
      </c>
      <c r="B12">
        <f>'ADMIN - POSITIONS'!B12</f>
        <v/>
      </c>
      <c r="C12">
        <f>'ADMIN - POSITIONS'!D12</f>
        <v/>
      </c>
      <c r="D12">
        <f>'ADMIN - POSITIONS'!E12</f>
        <v/>
      </c>
      <c r="E12">
        <f>'ADMIN - POSITIONS'!F12</f>
        <v/>
      </c>
      <c r="F12">
        <f>'ADMIN - POSITIONS'!G12</f>
        <v/>
      </c>
      <c r="G12">
        <f>'ADMIN - POSITIONS'!H12</f>
        <v/>
      </c>
      <c r="H12">
        <f>'ADMIN - POSITIONS'!J12</f>
        <v/>
      </c>
      <c r="I12">
        <f>'ADMIN - POSITIONS'!K12</f>
        <v/>
      </c>
      <c r="J12">
        <f>'ADMIN - POSITIONS'!L12</f>
        <v/>
      </c>
      <c r="K12">
        <f>'ADMIN - POSITIONS'!M12</f>
        <v/>
      </c>
      <c r="L12">
        <f>'ADMIN - POSITIONS'!N12</f>
        <v/>
      </c>
      <c r="M12">
        <f>IF(E12=""," ",IF(EXACT(E12,'MY PROFILE'!E6)=FALSE,0,IF(AND(EXACT(F12,'MY PROFILE'!E6),EXACT(E12,'MY PROFILE'!C25)),35,IF(AND(EXACT(F12,'MY PROFILE'!E6),EXACT(E12,'MY PROFILE'!C6)),25,10))))</f>
        <v/>
      </c>
      <c r="N12">
        <f>IF(G12="","",IF(EXACT(G12,'MY PROFILE'!C7),30,IF(EXACT('MY PROFILE'!G27,"Yes"),10,0)))</f>
        <v/>
      </c>
      <c r="O12">
        <f>IF(T12=999,0,IF('MY PROFILE'!G10="No Limit",15,IF('MY PROFILE'!G10="30 Minutes",IF(T12&lt;=30,15,IF(T12&lt;=60,8,IF(T12&lt;=90,3,0))),IF('MY PROFILE'!G10="1 Hour",IF(T12&lt;=60,15,IF(T12&lt;=90,8,IF(T12&lt;=120,3,0))),IF('MY PROFILE'!G10="1.5 Hours",IF(T12&lt;=90,15,IF(T12&lt;=120,8,IF(T12&lt;=150,3,0))),IF('MY PROFILE'!G10="2 Hours",IF(T12&lt;=120,15,IF(T12&lt;=150,8,IF(T12&lt;=180,3,0))),IF('MY PROFILE'!G10="3 Hours",IF(T12&lt;=180,15,IF(T12&lt;=240,5,0)),15)))))))</f>
        <v/>
      </c>
      <c r="P12">
        <f>IF(EXACT('MY PROFILE'!C26,"Pursue Command"),IF(EXACT(I12,"Yes"),15,5),IF(EXACT('MY PROFILE'!C26,"Promote to Next Grade"),IF(EXACT(H12,"Leadership"),12,IF(EXACT(H12,"Staff"),10,8)),IF(EXACT('MY PROFILE'!C26,"Move to Staff"),IF(EXACT(H12,"Staff"),15,IF(EXACT(H12,"Technical"),10,5)),IF(EXACT('MY PROFILE'!C26,"Pursue AGR Full-Time"),IF(EXACT(J12,"AGR"),15,IF(EXACT(J12,"M-Day"),5,10)),8))))</f>
        <v/>
      </c>
      <c r="Q12">
        <f>IF(EXACT('MY PROFILE'!G6,"M-Day"),IF(EXACT(J12,"M-Day"),5,IF(EXACT(J12,"AGR"),1,3)),IF(EXACT('MY PROFILE'!G6,"AGR"),IF(EXACT(J12,"AGR"),5,IF(EXACT(J12,"M-Day"),2,3)),3))</f>
        <v/>
      </c>
      <c r="R12">
        <f>IFERROR(M12+N12+O12+P12+Q12,0)</f>
        <v/>
      </c>
      <c r="S12">
        <f>IF(R12&gt;=80,"STRONG MATCH",IF(R12&gt;=60,"GOOD MATCH",IF(R12&gt;=40,"MODERATE / STRETCH",IF(R12&gt;=20,"POSSIBLE — GAPS EXIST","NOT RECOMMENDED NOW"))))</f>
        <v/>
      </c>
      <c r="T12">
        <f>IFERROR(SUMPRODUCT(($A$231:$A$313='MY PROFILE'!C10)*($B$231:$B$313=C12)*($C$231:$C$313)),999)</f>
        <v/>
      </c>
    </row>
    <row r="13">
      <c r="A13">
        <f>'ADMIN - POSITIONS'!A13</f>
        <v/>
      </c>
      <c r="B13">
        <f>'ADMIN - POSITIONS'!B13</f>
        <v/>
      </c>
      <c r="C13">
        <f>'ADMIN - POSITIONS'!D13</f>
        <v/>
      </c>
      <c r="D13">
        <f>'ADMIN - POSITIONS'!E13</f>
        <v/>
      </c>
      <c r="E13">
        <f>'ADMIN - POSITIONS'!F13</f>
        <v/>
      </c>
      <c r="F13">
        <f>'ADMIN - POSITIONS'!G13</f>
        <v/>
      </c>
      <c r="G13">
        <f>'ADMIN - POSITIONS'!H13</f>
        <v/>
      </c>
      <c r="H13">
        <f>'ADMIN - POSITIONS'!J13</f>
        <v/>
      </c>
      <c r="I13">
        <f>'ADMIN - POSITIONS'!K13</f>
        <v/>
      </c>
      <c r="J13">
        <f>'ADMIN - POSITIONS'!L13</f>
        <v/>
      </c>
      <c r="K13">
        <f>'ADMIN - POSITIONS'!M13</f>
        <v/>
      </c>
      <c r="L13">
        <f>'ADMIN - POSITIONS'!N13</f>
        <v/>
      </c>
      <c r="M13">
        <f>IF(E13=""," ",IF(EXACT(E13,'MY PROFILE'!E6)=FALSE,0,IF(AND(EXACT(F13,'MY PROFILE'!E6),EXACT(E13,'MY PROFILE'!C25)),35,IF(AND(EXACT(F13,'MY PROFILE'!E6),EXACT(E13,'MY PROFILE'!C6)),25,10))))</f>
        <v/>
      </c>
      <c r="N13">
        <f>IF(G13="","",IF(EXACT(G13,'MY PROFILE'!C7),30,IF(EXACT('MY PROFILE'!G27,"Yes"),10,0)))</f>
        <v/>
      </c>
      <c r="O13">
        <f>IF(T13=999,0,IF('MY PROFILE'!G10="No Limit",15,IF('MY PROFILE'!G10="30 Minutes",IF(T13&lt;=30,15,IF(T13&lt;=60,8,IF(T13&lt;=90,3,0))),IF('MY PROFILE'!G10="1 Hour",IF(T13&lt;=60,15,IF(T13&lt;=90,8,IF(T13&lt;=120,3,0))),IF('MY PROFILE'!G10="1.5 Hours",IF(T13&lt;=90,15,IF(T13&lt;=120,8,IF(T13&lt;=150,3,0))),IF('MY PROFILE'!G10="2 Hours",IF(T13&lt;=120,15,IF(T13&lt;=150,8,IF(T13&lt;=180,3,0))),IF('MY PROFILE'!G10="3 Hours",IF(T13&lt;=180,15,IF(T13&lt;=240,5,0)),15)))))))</f>
        <v/>
      </c>
      <c r="P13">
        <f>IF(EXACT('MY PROFILE'!C26,"Pursue Command"),IF(EXACT(I13,"Yes"),15,5),IF(EXACT('MY PROFILE'!C26,"Promote to Next Grade"),IF(EXACT(H13,"Leadership"),12,IF(EXACT(H13,"Staff"),10,8)),IF(EXACT('MY PROFILE'!C26,"Move to Staff"),IF(EXACT(H13,"Staff"),15,IF(EXACT(H13,"Technical"),10,5)),IF(EXACT('MY PROFILE'!C26,"Pursue AGR Full-Time"),IF(EXACT(J13,"AGR"),15,IF(EXACT(J13,"M-Day"),5,10)),8))))</f>
        <v/>
      </c>
      <c r="Q13">
        <f>IF(EXACT('MY PROFILE'!G6,"M-Day"),IF(EXACT(J13,"M-Day"),5,IF(EXACT(J13,"AGR"),1,3)),IF(EXACT('MY PROFILE'!G6,"AGR"),IF(EXACT(J13,"AGR"),5,IF(EXACT(J13,"M-Day"),2,3)),3))</f>
        <v/>
      </c>
      <c r="R13">
        <f>IFERROR(M13+N13+O13+P13+Q13,0)</f>
        <v/>
      </c>
      <c r="S13">
        <f>IF(R13&gt;=80,"STRONG MATCH",IF(R13&gt;=60,"GOOD MATCH",IF(R13&gt;=40,"MODERATE / STRETCH",IF(R13&gt;=20,"POSSIBLE — GAPS EXIST","NOT RECOMMENDED NOW"))))</f>
        <v/>
      </c>
      <c r="T13">
        <f>IFERROR(SUMPRODUCT(($A$231:$A$313='MY PROFILE'!C10)*($B$231:$B$313=C13)*($C$231:$C$313)),999)</f>
        <v/>
      </c>
    </row>
    <row r="14">
      <c r="A14">
        <f>'ADMIN - POSITIONS'!A14</f>
        <v/>
      </c>
      <c r="B14">
        <f>'ADMIN - POSITIONS'!B14</f>
        <v/>
      </c>
      <c r="C14">
        <f>'ADMIN - POSITIONS'!D14</f>
        <v/>
      </c>
      <c r="D14">
        <f>'ADMIN - POSITIONS'!E14</f>
        <v/>
      </c>
      <c r="E14">
        <f>'ADMIN - POSITIONS'!F14</f>
        <v/>
      </c>
      <c r="F14">
        <f>'ADMIN - POSITIONS'!G14</f>
        <v/>
      </c>
      <c r="G14">
        <f>'ADMIN - POSITIONS'!H14</f>
        <v/>
      </c>
      <c r="H14">
        <f>'ADMIN - POSITIONS'!J14</f>
        <v/>
      </c>
      <c r="I14">
        <f>'ADMIN - POSITIONS'!K14</f>
        <v/>
      </c>
      <c r="J14">
        <f>'ADMIN - POSITIONS'!L14</f>
        <v/>
      </c>
      <c r="K14">
        <f>'ADMIN - POSITIONS'!M14</f>
        <v/>
      </c>
      <c r="L14">
        <f>'ADMIN - POSITIONS'!N14</f>
        <v/>
      </c>
      <c r="M14">
        <f>IF(E14=""," ",IF(EXACT(E14,'MY PROFILE'!E6)=FALSE,0,IF(AND(EXACT(F14,'MY PROFILE'!E6),EXACT(E14,'MY PROFILE'!C25)),35,IF(AND(EXACT(F14,'MY PROFILE'!E6),EXACT(E14,'MY PROFILE'!C6)),25,10))))</f>
        <v/>
      </c>
      <c r="N14">
        <f>IF(G14="","",IF(EXACT(G14,'MY PROFILE'!C7),30,IF(EXACT('MY PROFILE'!G27,"Yes"),10,0)))</f>
        <v/>
      </c>
      <c r="O14">
        <f>IF(T14=999,0,IF('MY PROFILE'!G10="No Limit",15,IF('MY PROFILE'!G10="30 Minutes",IF(T14&lt;=30,15,IF(T14&lt;=60,8,IF(T14&lt;=90,3,0))),IF('MY PROFILE'!G10="1 Hour",IF(T14&lt;=60,15,IF(T14&lt;=90,8,IF(T14&lt;=120,3,0))),IF('MY PROFILE'!G10="1.5 Hours",IF(T14&lt;=90,15,IF(T14&lt;=120,8,IF(T14&lt;=150,3,0))),IF('MY PROFILE'!G10="2 Hours",IF(T14&lt;=120,15,IF(T14&lt;=150,8,IF(T14&lt;=180,3,0))),IF('MY PROFILE'!G10="3 Hours",IF(T14&lt;=180,15,IF(T14&lt;=240,5,0)),15)))))))</f>
        <v/>
      </c>
      <c r="P14">
        <f>IF(EXACT('MY PROFILE'!C26,"Pursue Command"),IF(EXACT(I14,"Yes"),15,5),IF(EXACT('MY PROFILE'!C26,"Promote to Next Grade"),IF(EXACT(H14,"Leadership"),12,IF(EXACT(H14,"Staff"),10,8)),IF(EXACT('MY PROFILE'!C26,"Move to Staff"),IF(EXACT(H14,"Staff"),15,IF(EXACT(H14,"Technical"),10,5)),IF(EXACT('MY PROFILE'!C26,"Pursue AGR Full-Time"),IF(EXACT(J14,"AGR"),15,IF(EXACT(J14,"M-Day"),5,10)),8))))</f>
        <v/>
      </c>
      <c r="Q14">
        <f>IF(EXACT('MY PROFILE'!G6,"M-Day"),IF(EXACT(J14,"M-Day"),5,IF(EXACT(J14,"AGR"),1,3)),IF(EXACT('MY PROFILE'!G6,"AGR"),IF(EXACT(J14,"AGR"),5,IF(EXACT(J14,"M-Day"),2,3)),3))</f>
        <v/>
      </c>
      <c r="R14">
        <f>IFERROR(M14+N14+O14+P14+Q14,0)</f>
        <v/>
      </c>
      <c r="S14">
        <f>IF(R14&gt;=80,"STRONG MATCH",IF(R14&gt;=60,"GOOD MATCH",IF(R14&gt;=40,"MODERATE / STRETCH",IF(R14&gt;=20,"POSSIBLE — GAPS EXIST","NOT RECOMMENDED NOW"))))</f>
        <v/>
      </c>
      <c r="T14">
        <f>IFERROR(SUMPRODUCT(($A$231:$A$313='MY PROFILE'!C10)*($B$231:$B$313=C14)*($C$231:$C$313)),999)</f>
        <v/>
      </c>
    </row>
    <row r="15">
      <c r="A15">
        <f>'ADMIN - POSITIONS'!A15</f>
        <v/>
      </c>
      <c r="B15">
        <f>'ADMIN - POSITIONS'!B15</f>
        <v/>
      </c>
      <c r="C15">
        <f>'ADMIN - POSITIONS'!D15</f>
        <v/>
      </c>
      <c r="D15">
        <f>'ADMIN - POSITIONS'!E15</f>
        <v/>
      </c>
      <c r="E15">
        <f>'ADMIN - POSITIONS'!F15</f>
        <v/>
      </c>
      <c r="F15">
        <f>'ADMIN - POSITIONS'!G15</f>
        <v/>
      </c>
      <c r="G15">
        <f>'ADMIN - POSITIONS'!H15</f>
        <v/>
      </c>
      <c r="H15">
        <f>'ADMIN - POSITIONS'!J15</f>
        <v/>
      </c>
      <c r="I15">
        <f>'ADMIN - POSITIONS'!K15</f>
        <v/>
      </c>
      <c r="J15">
        <f>'ADMIN - POSITIONS'!L15</f>
        <v/>
      </c>
      <c r="K15">
        <f>'ADMIN - POSITIONS'!M15</f>
        <v/>
      </c>
      <c r="L15">
        <f>'ADMIN - POSITIONS'!N15</f>
        <v/>
      </c>
      <c r="M15">
        <f>IF(E15=""," ",IF(EXACT(E15,'MY PROFILE'!E6)=FALSE,0,IF(AND(EXACT(F15,'MY PROFILE'!E6),EXACT(E15,'MY PROFILE'!C25)),35,IF(AND(EXACT(F15,'MY PROFILE'!E6),EXACT(E15,'MY PROFILE'!C6)),25,10))))</f>
        <v/>
      </c>
      <c r="N15">
        <f>IF(G15="","",IF(EXACT(G15,'MY PROFILE'!C7),30,IF(EXACT('MY PROFILE'!G27,"Yes"),10,0)))</f>
        <v/>
      </c>
      <c r="O15">
        <f>IF(T15=999,0,IF('MY PROFILE'!G10="No Limit",15,IF('MY PROFILE'!G10="30 Minutes",IF(T15&lt;=30,15,IF(T15&lt;=60,8,IF(T15&lt;=90,3,0))),IF('MY PROFILE'!G10="1 Hour",IF(T15&lt;=60,15,IF(T15&lt;=90,8,IF(T15&lt;=120,3,0))),IF('MY PROFILE'!G10="1.5 Hours",IF(T15&lt;=90,15,IF(T15&lt;=120,8,IF(T15&lt;=150,3,0))),IF('MY PROFILE'!G10="2 Hours",IF(T15&lt;=120,15,IF(T15&lt;=150,8,IF(T15&lt;=180,3,0))),IF('MY PROFILE'!G10="3 Hours",IF(T15&lt;=180,15,IF(T15&lt;=240,5,0)),15)))))))</f>
        <v/>
      </c>
      <c r="P15">
        <f>IF(EXACT('MY PROFILE'!C26,"Pursue Command"),IF(EXACT(I15,"Yes"),15,5),IF(EXACT('MY PROFILE'!C26,"Promote to Next Grade"),IF(EXACT(H15,"Leadership"),12,IF(EXACT(H15,"Staff"),10,8)),IF(EXACT('MY PROFILE'!C26,"Move to Staff"),IF(EXACT(H15,"Staff"),15,IF(EXACT(H15,"Technical"),10,5)),IF(EXACT('MY PROFILE'!C26,"Pursue AGR Full-Time"),IF(EXACT(J15,"AGR"),15,IF(EXACT(J15,"M-Day"),5,10)),8))))</f>
        <v/>
      </c>
      <c r="Q15">
        <f>IF(EXACT('MY PROFILE'!G6,"M-Day"),IF(EXACT(J15,"M-Day"),5,IF(EXACT(J15,"AGR"),1,3)),IF(EXACT('MY PROFILE'!G6,"AGR"),IF(EXACT(J15,"AGR"),5,IF(EXACT(J15,"M-Day"),2,3)),3))</f>
        <v/>
      </c>
      <c r="R15">
        <f>IFERROR(M15+N15+O15+P15+Q15,0)</f>
        <v/>
      </c>
      <c r="S15">
        <f>IF(R15&gt;=80,"STRONG MATCH",IF(R15&gt;=60,"GOOD MATCH",IF(R15&gt;=40,"MODERATE / STRETCH",IF(R15&gt;=20,"POSSIBLE — GAPS EXIST","NOT RECOMMENDED NOW"))))</f>
        <v/>
      </c>
      <c r="T15">
        <f>IFERROR(SUMPRODUCT(($A$231:$A$313='MY PROFILE'!C10)*($B$231:$B$313=C15)*($C$231:$C$313)),999)</f>
        <v/>
      </c>
    </row>
    <row r="16">
      <c r="A16">
        <f>'ADMIN - POSITIONS'!A16</f>
        <v/>
      </c>
      <c r="B16">
        <f>'ADMIN - POSITIONS'!B16</f>
        <v/>
      </c>
      <c r="C16">
        <f>'ADMIN - POSITIONS'!D16</f>
        <v/>
      </c>
      <c r="D16">
        <f>'ADMIN - POSITIONS'!E16</f>
        <v/>
      </c>
      <c r="E16">
        <f>'ADMIN - POSITIONS'!F16</f>
        <v/>
      </c>
      <c r="F16">
        <f>'ADMIN - POSITIONS'!G16</f>
        <v/>
      </c>
      <c r="G16">
        <f>'ADMIN - POSITIONS'!H16</f>
        <v/>
      </c>
      <c r="H16">
        <f>'ADMIN - POSITIONS'!J16</f>
        <v/>
      </c>
      <c r="I16">
        <f>'ADMIN - POSITIONS'!K16</f>
        <v/>
      </c>
      <c r="J16">
        <f>'ADMIN - POSITIONS'!L16</f>
        <v/>
      </c>
      <c r="K16">
        <f>'ADMIN - POSITIONS'!M16</f>
        <v/>
      </c>
      <c r="L16">
        <f>'ADMIN - POSITIONS'!N16</f>
        <v/>
      </c>
      <c r="M16">
        <f>IF(E16=""," ",IF(EXACT(E16,'MY PROFILE'!E6)=FALSE,0,IF(AND(EXACT(F16,'MY PROFILE'!E6),EXACT(E16,'MY PROFILE'!C25)),35,IF(AND(EXACT(F16,'MY PROFILE'!E6),EXACT(E16,'MY PROFILE'!C6)),25,10))))</f>
        <v/>
      </c>
      <c r="N16">
        <f>IF(G16="","",IF(EXACT(G16,'MY PROFILE'!C7),30,IF(EXACT('MY PROFILE'!G27,"Yes"),10,0)))</f>
        <v/>
      </c>
      <c r="O16">
        <f>IF(T16=999,0,IF('MY PROFILE'!G10="No Limit",15,IF('MY PROFILE'!G10="30 Minutes",IF(T16&lt;=30,15,IF(T16&lt;=60,8,IF(T16&lt;=90,3,0))),IF('MY PROFILE'!G10="1 Hour",IF(T16&lt;=60,15,IF(T16&lt;=90,8,IF(T16&lt;=120,3,0))),IF('MY PROFILE'!G10="1.5 Hours",IF(T16&lt;=90,15,IF(T16&lt;=120,8,IF(T16&lt;=150,3,0))),IF('MY PROFILE'!G10="2 Hours",IF(T16&lt;=120,15,IF(T16&lt;=150,8,IF(T16&lt;=180,3,0))),IF('MY PROFILE'!G10="3 Hours",IF(T16&lt;=180,15,IF(T16&lt;=240,5,0)),15)))))))</f>
        <v/>
      </c>
      <c r="P16">
        <f>IF(EXACT('MY PROFILE'!C26,"Pursue Command"),IF(EXACT(I16,"Yes"),15,5),IF(EXACT('MY PROFILE'!C26,"Promote to Next Grade"),IF(EXACT(H16,"Leadership"),12,IF(EXACT(H16,"Staff"),10,8)),IF(EXACT('MY PROFILE'!C26,"Move to Staff"),IF(EXACT(H16,"Staff"),15,IF(EXACT(H16,"Technical"),10,5)),IF(EXACT('MY PROFILE'!C26,"Pursue AGR Full-Time"),IF(EXACT(J16,"AGR"),15,IF(EXACT(J16,"M-Day"),5,10)),8))))</f>
        <v/>
      </c>
      <c r="Q16">
        <f>IF(EXACT('MY PROFILE'!G6,"M-Day"),IF(EXACT(J16,"M-Day"),5,IF(EXACT(J16,"AGR"),1,3)),IF(EXACT('MY PROFILE'!G6,"AGR"),IF(EXACT(J16,"AGR"),5,IF(EXACT(J16,"M-Day"),2,3)),3))</f>
        <v/>
      </c>
      <c r="R16">
        <f>IFERROR(M16+N16+O16+P16+Q16,0)</f>
        <v/>
      </c>
      <c r="S16">
        <f>IF(R16&gt;=80,"STRONG MATCH",IF(R16&gt;=60,"GOOD MATCH",IF(R16&gt;=40,"MODERATE / STRETCH",IF(R16&gt;=20,"POSSIBLE — GAPS EXIST","NOT RECOMMENDED NOW"))))</f>
        <v/>
      </c>
      <c r="T16">
        <f>IFERROR(SUMPRODUCT(($A$231:$A$313='MY PROFILE'!C10)*($B$231:$B$313=C16)*($C$231:$C$313)),999)</f>
        <v/>
      </c>
    </row>
    <row r="17">
      <c r="A17">
        <f>'ADMIN - POSITIONS'!A17</f>
        <v/>
      </c>
      <c r="B17">
        <f>'ADMIN - POSITIONS'!B17</f>
        <v/>
      </c>
      <c r="C17">
        <f>'ADMIN - POSITIONS'!D17</f>
        <v/>
      </c>
      <c r="D17">
        <f>'ADMIN - POSITIONS'!E17</f>
        <v/>
      </c>
      <c r="E17">
        <f>'ADMIN - POSITIONS'!F17</f>
        <v/>
      </c>
      <c r="F17">
        <f>'ADMIN - POSITIONS'!G17</f>
        <v/>
      </c>
      <c r="G17">
        <f>'ADMIN - POSITIONS'!H17</f>
        <v/>
      </c>
      <c r="H17">
        <f>'ADMIN - POSITIONS'!J17</f>
        <v/>
      </c>
      <c r="I17">
        <f>'ADMIN - POSITIONS'!K17</f>
        <v/>
      </c>
      <c r="J17">
        <f>'ADMIN - POSITIONS'!L17</f>
        <v/>
      </c>
      <c r="K17">
        <f>'ADMIN - POSITIONS'!M17</f>
        <v/>
      </c>
      <c r="L17">
        <f>'ADMIN - POSITIONS'!N17</f>
        <v/>
      </c>
      <c r="M17">
        <f>IF(E17=""," ",IF(EXACT(E17,'MY PROFILE'!E6)=FALSE,0,IF(AND(EXACT(F17,'MY PROFILE'!E6),EXACT(E17,'MY PROFILE'!C25)),35,IF(AND(EXACT(F17,'MY PROFILE'!E6),EXACT(E17,'MY PROFILE'!C6)),25,10))))</f>
        <v/>
      </c>
      <c r="N17">
        <f>IF(G17="","",IF(EXACT(G17,'MY PROFILE'!C7),30,IF(EXACT('MY PROFILE'!G27,"Yes"),10,0)))</f>
        <v/>
      </c>
      <c r="O17">
        <f>IF(T17=999,0,IF('MY PROFILE'!G10="No Limit",15,IF('MY PROFILE'!G10="30 Minutes",IF(T17&lt;=30,15,IF(T17&lt;=60,8,IF(T17&lt;=90,3,0))),IF('MY PROFILE'!G10="1 Hour",IF(T17&lt;=60,15,IF(T17&lt;=90,8,IF(T17&lt;=120,3,0))),IF('MY PROFILE'!G10="1.5 Hours",IF(T17&lt;=90,15,IF(T17&lt;=120,8,IF(T17&lt;=150,3,0))),IF('MY PROFILE'!G10="2 Hours",IF(T17&lt;=120,15,IF(T17&lt;=150,8,IF(T17&lt;=180,3,0))),IF('MY PROFILE'!G10="3 Hours",IF(T17&lt;=180,15,IF(T17&lt;=240,5,0)),15)))))))</f>
        <v/>
      </c>
      <c r="P17">
        <f>IF(EXACT('MY PROFILE'!C26,"Pursue Command"),IF(EXACT(I17,"Yes"),15,5),IF(EXACT('MY PROFILE'!C26,"Promote to Next Grade"),IF(EXACT(H17,"Leadership"),12,IF(EXACT(H17,"Staff"),10,8)),IF(EXACT('MY PROFILE'!C26,"Move to Staff"),IF(EXACT(H17,"Staff"),15,IF(EXACT(H17,"Technical"),10,5)),IF(EXACT('MY PROFILE'!C26,"Pursue AGR Full-Time"),IF(EXACT(J17,"AGR"),15,IF(EXACT(J17,"M-Day"),5,10)),8))))</f>
        <v/>
      </c>
      <c r="Q17">
        <f>IF(EXACT('MY PROFILE'!G6,"M-Day"),IF(EXACT(J17,"M-Day"),5,IF(EXACT(J17,"AGR"),1,3)),IF(EXACT('MY PROFILE'!G6,"AGR"),IF(EXACT(J17,"AGR"),5,IF(EXACT(J17,"M-Day"),2,3)),3))</f>
        <v/>
      </c>
      <c r="R17">
        <f>IFERROR(M17+N17+O17+P17+Q17,0)</f>
        <v/>
      </c>
      <c r="S17">
        <f>IF(R17&gt;=80,"STRONG MATCH",IF(R17&gt;=60,"GOOD MATCH",IF(R17&gt;=40,"MODERATE / STRETCH",IF(R17&gt;=20,"POSSIBLE — GAPS EXIST","NOT RECOMMENDED NOW"))))</f>
        <v/>
      </c>
      <c r="T17">
        <f>IFERROR(SUMPRODUCT(($A$231:$A$313='MY PROFILE'!C10)*($B$231:$B$313=C17)*($C$231:$C$313)),999)</f>
        <v/>
      </c>
    </row>
    <row r="18">
      <c r="A18">
        <f>'ADMIN - POSITIONS'!A18</f>
        <v/>
      </c>
      <c r="B18">
        <f>'ADMIN - POSITIONS'!B18</f>
        <v/>
      </c>
      <c r="C18">
        <f>'ADMIN - POSITIONS'!D18</f>
        <v/>
      </c>
      <c r="D18">
        <f>'ADMIN - POSITIONS'!E18</f>
        <v/>
      </c>
      <c r="E18">
        <f>'ADMIN - POSITIONS'!F18</f>
        <v/>
      </c>
      <c r="F18">
        <f>'ADMIN - POSITIONS'!G18</f>
        <v/>
      </c>
      <c r="G18">
        <f>'ADMIN - POSITIONS'!H18</f>
        <v/>
      </c>
      <c r="H18">
        <f>'ADMIN - POSITIONS'!J18</f>
        <v/>
      </c>
      <c r="I18">
        <f>'ADMIN - POSITIONS'!K18</f>
        <v/>
      </c>
      <c r="J18">
        <f>'ADMIN - POSITIONS'!L18</f>
        <v/>
      </c>
      <c r="K18">
        <f>'ADMIN - POSITIONS'!M18</f>
        <v/>
      </c>
      <c r="L18">
        <f>'ADMIN - POSITIONS'!N18</f>
        <v/>
      </c>
      <c r="M18">
        <f>IF(E18=""," ",IF(EXACT(E18,'MY PROFILE'!E6)=FALSE,0,IF(AND(EXACT(F18,'MY PROFILE'!E6),EXACT(E18,'MY PROFILE'!C25)),35,IF(AND(EXACT(F18,'MY PROFILE'!E6),EXACT(E18,'MY PROFILE'!C6)),25,10))))</f>
        <v/>
      </c>
      <c r="N18">
        <f>IF(G18="","",IF(EXACT(G18,'MY PROFILE'!C7),30,IF(EXACT('MY PROFILE'!G27,"Yes"),10,0)))</f>
        <v/>
      </c>
      <c r="O18">
        <f>IF(T18=999,0,IF('MY PROFILE'!G10="No Limit",15,IF('MY PROFILE'!G10="30 Minutes",IF(T18&lt;=30,15,IF(T18&lt;=60,8,IF(T18&lt;=90,3,0))),IF('MY PROFILE'!G10="1 Hour",IF(T18&lt;=60,15,IF(T18&lt;=90,8,IF(T18&lt;=120,3,0))),IF('MY PROFILE'!G10="1.5 Hours",IF(T18&lt;=90,15,IF(T18&lt;=120,8,IF(T18&lt;=150,3,0))),IF('MY PROFILE'!G10="2 Hours",IF(T18&lt;=120,15,IF(T18&lt;=150,8,IF(T18&lt;=180,3,0))),IF('MY PROFILE'!G10="3 Hours",IF(T18&lt;=180,15,IF(T18&lt;=240,5,0)),15)))))))</f>
        <v/>
      </c>
      <c r="P18">
        <f>IF(EXACT('MY PROFILE'!C26,"Pursue Command"),IF(EXACT(I18,"Yes"),15,5),IF(EXACT('MY PROFILE'!C26,"Promote to Next Grade"),IF(EXACT(H18,"Leadership"),12,IF(EXACT(H18,"Staff"),10,8)),IF(EXACT('MY PROFILE'!C26,"Move to Staff"),IF(EXACT(H18,"Staff"),15,IF(EXACT(H18,"Technical"),10,5)),IF(EXACT('MY PROFILE'!C26,"Pursue AGR Full-Time"),IF(EXACT(J18,"AGR"),15,IF(EXACT(J18,"M-Day"),5,10)),8))))</f>
        <v/>
      </c>
      <c r="Q18">
        <f>IF(EXACT('MY PROFILE'!G6,"M-Day"),IF(EXACT(J18,"M-Day"),5,IF(EXACT(J18,"AGR"),1,3)),IF(EXACT('MY PROFILE'!G6,"AGR"),IF(EXACT(J18,"AGR"),5,IF(EXACT(J18,"M-Day"),2,3)),3))</f>
        <v/>
      </c>
      <c r="R18">
        <f>IFERROR(M18+N18+O18+P18+Q18,0)</f>
        <v/>
      </c>
      <c r="S18">
        <f>IF(R18&gt;=80,"STRONG MATCH",IF(R18&gt;=60,"GOOD MATCH",IF(R18&gt;=40,"MODERATE / STRETCH",IF(R18&gt;=20,"POSSIBLE — GAPS EXIST","NOT RECOMMENDED NOW"))))</f>
        <v/>
      </c>
      <c r="T18">
        <f>IFERROR(SUMPRODUCT(($A$231:$A$313='MY PROFILE'!C10)*($B$231:$B$313=C18)*($C$231:$C$313)),999)</f>
        <v/>
      </c>
    </row>
    <row r="19">
      <c r="A19">
        <f>'ADMIN - POSITIONS'!A19</f>
        <v/>
      </c>
      <c r="B19">
        <f>'ADMIN - POSITIONS'!B19</f>
        <v/>
      </c>
      <c r="C19">
        <f>'ADMIN - POSITIONS'!D19</f>
        <v/>
      </c>
      <c r="D19">
        <f>'ADMIN - POSITIONS'!E19</f>
        <v/>
      </c>
      <c r="E19">
        <f>'ADMIN - POSITIONS'!F19</f>
        <v/>
      </c>
      <c r="F19">
        <f>'ADMIN - POSITIONS'!G19</f>
        <v/>
      </c>
      <c r="G19">
        <f>'ADMIN - POSITIONS'!H19</f>
        <v/>
      </c>
      <c r="H19">
        <f>'ADMIN - POSITIONS'!J19</f>
        <v/>
      </c>
      <c r="I19">
        <f>'ADMIN - POSITIONS'!K19</f>
        <v/>
      </c>
      <c r="J19">
        <f>'ADMIN - POSITIONS'!L19</f>
        <v/>
      </c>
      <c r="K19">
        <f>'ADMIN - POSITIONS'!M19</f>
        <v/>
      </c>
      <c r="L19">
        <f>'ADMIN - POSITIONS'!N19</f>
        <v/>
      </c>
      <c r="M19">
        <f>IF(E19=""," ",IF(EXACT(E19,'MY PROFILE'!E6)=FALSE,0,IF(AND(EXACT(F19,'MY PROFILE'!E6),EXACT(E19,'MY PROFILE'!C25)),35,IF(AND(EXACT(F19,'MY PROFILE'!E6),EXACT(E19,'MY PROFILE'!C6)),25,10))))</f>
        <v/>
      </c>
      <c r="N19">
        <f>IF(G19="","",IF(EXACT(G19,'MY PROFILE'!C7),30,IF(EXACT('MY PROFILE'!G27,"Yes"),10,0)))</f>
        <v/>
      </c>
      <c r="O19">
        <f>IF(T19=999,0,IF('MY PROFILE'!G10="No Limit",15,IF('MY PROFILE'!G10="30 Minutes",IF(T19&lt;=30,15,IF(T19&lt;=60,8,IF(T19&lt;=90,3,0))),IF('MY PROFILE'!G10="1 Hour",IF(T19&lt;=60,15,IF(T19&lt;=90,8,IF(T19&lt;=120,3,0))),IF('MY PROFILE'!G10="1.5 Hours",IF(T19&lt;=90,15,IF(T19&lt;=120,8,IF(T19&lt;=150,3,0))),IF('MY PROFILE'!G10="2 Hours",IF(T19&lt;=120,15,IF(T19&lt;=150,8,IF(T19&lt;=180,3,0))),IF('MY PROFILE'!G10="3 Hours",IF(T19&lt;=180,15,IF(T19&lt;=240,5,0)),15)))))))</f>
        <v/>
      </c>
      <c r="P19">
        <f>IF(EXACT('MY PROFILE'!C26,"Pursue Command"),IF(EXACT(I19,"Yes"),15,5),IF(EXACT('MY PROFILE'!C26,"Promote to Next Grade"),IF(EXACT(H19,"Leadership"),12,IF(EXACT(H19,"Staff"),10,8)),IF(EXACT('MY PROFILE'!C26,"Move to Staff"),IF(EXACT(H19,"Staff"),15,IF(EXACT(H19,"Technical"),10,5)),IF(EXACT('MY PROFILE'!C26,"Pursue AGR Full-Time"),IF(EXACT(J19,"AGR"),15,IF(EXACT(J19,"M-Day"),5,10)),8))))</f>
        <v/>
      </c>
      <c r="Q19">
        <f>IF(EXACT('MY PROFILE'!G6,"M-Day"),IF(EXACT(J19,"M-Day"),5,IF(EXACT(J19,"AGR"),1,3)),IF(EXACT('MY PROFILE'!G6,"AGR"),IF(EXACT(J19,"AGR"),5,IF(EXACT(J19,"M-Day"),2,3)),3))</f>
        <v/>
      </c>
      <c r="R19">
        <f>IFERROR(M19+N19+O19+P19+Q19,0)</f>
        <v/>
      </c>
      <c r="S19">
        <f>IF(R19&gt;=80,"STRONG MATCH",IF(R19&gt;=60,"GOOD MATCH",IF(R19&gt;=40,"MODERATE / STRETCH",IF(R19&gt;=20,"POSSIBLE — GAPS EXIST","NOT RECOMMENDED NOW"))))</f>
        <v/>
      </c>
      <c r="T19">
        <f>IFERROR(SUMPRODUCT(($A$231:$A$313='MY PROFILE'!C10)*($B$231:$B$313=C19)*($C$231:$C$313)),999)</f>
        <v/>
      </c>
    </row>
    <row r="20">
      <c r="A20">
        <f>'ADMIN - POSITIONS'!A20</f>
        <v/>
      </c>
      <c r="B20">
        <f>'ADMIN - POSITIONS'!B20</f>
        <v/>
      </c>
      <c r="C20">
        <f>'ADMIN - POSITIONS'!D20</f>
        <v/>
      </c>
      <c r="D20">
        <f>'ADMIN - POSITIONS'!E20</f>
        <v/>
      </c>
      <c r="E20">
        <f>'ADMIN - POSITIONS'!F20</f>
        <v/>
      </c>
      <c r="F20">
        <f>'ADMIN - POSITIONS'!G20</f>
        <v/>
      </c>
      <c r="G20">
        <f>'ADMIN - POSITIONS'!H20</f>
        <v/>
      </c>
      <c r="H20">
        <f>'ADMIN - POSITIONS'!J20</f>
        <v/>
      </c>
      <c r="I20">
        <f>'ADMIN - POSITIONS'!K20</f>
        <v/>
      </c>
      <c r="J20">
        <f>'ADMIN - POSITIONS'!L20</f>
        <v/>
      </c>
      <c r="K20">
        <f>'ADMIN - POSITIONS'!M20</f>
        <v/>
      </c>
      <c r="L20">
        <f>'ADMIN - POSITIONS'!N20</f>
        <v/>
      </c>
      <c r="M20">
        <f>IF(E20=""," ",IF(EXACT(E20,'MY PROFILE'!E6)=FALSE,0,IF(AND(EXACT(F20,'MY PROFILE'!E6),EXACT(E20,'MY PROFILE'!C25)),35,IF(AND(EXACT(F20,'MY PROFILE'!E6),EXACT(E20,'MY PROFILE'!C6)),25,10))))</f>
        <v/>
      </c>
      <c r="N20">
        <f>IF(G20="","",IF(EXACT(G20,'MY PROFILE'!C7),30,IF(EXACT('MY PROFILE'!G27,"Yes"),10,0)))</f>
        <v/>
      </c>
      <c r="O20">
        <f>IF(T20=999,0,IF('MY PROFILE'!G10="No Limit",15,IF('MY PROFILE'!G10="30 Minutes",IF(T20&lt;=30,15,IF(T20&lt;=60,8,IF(T20&lt;=90,3,0))),IF('MY PROFILE'!G10="1 Hour",IF(T20&lt;=60,15,IF(T20&lt;=90,8,IF(T20&lt;=120,3,0))),IF('MY PROFILE'!G10="1.5 Hours",IF(T20&lt;=90,15,IF(T20&lt;=120,8,IF(T20&lt;=150,3,0))),IF('MY PROFILE'!G10="2 Hours",IF(T20&lt;=120,15,IF(T20&lt;=150,8,IF(T20&lt;=180,3,0))),IF('MY PROFILE'!G10="3 Hours",IF(T20&lt;=180,15,IF(T20&lt;=240,5,0)),15)))))))</f>
        <v/>
      </c>
      <c r="P20">
        <f>IF(EXACT('MY PROFILE'!C26,"Pursue Command"),IF(EXACT(I20,"Yes"),15,5),IF(EXACT('MY PROFILE'!C26,"Promote to Next Grade"),IF(EXACT(H20,"Leadership"),12,IF(EXACT(H20,"Staff"),10,8)),IF(EXACT('MY PROFILE'!C26,"Move to Staff"),IF(EXACT(H20,"Staff"),15,IF(EXACT(H20,"Technical"),10,5)),IF(EXACT('MY PROFILE'!C26,"Pursue AGR Full-Time"),IF(EXACT(J20,"AGR"),15,IF(EXACT(J20,"M-Day"),5,10)),8))))</f>
        <v/>
      </c>
      <c r="Q20">
        <f>IF(EXACT('MY PROFILE'!G6,"M-Day"),IF(EXACT(J20,"M-Day"),5,IF(EXACT(J20,"AGR"),1,3)),IF(EXACT('MY PROFILE'!G6,"AGR"),IF(EXACT(J20,"AGR"),5,IF(EXACT(J20,"M-Day"),2,3)),3))</f>
        <v/>
      </c>
      <c r="R20">
        <f>IFERROR(M20+N20+O20+P20+Q20,0)</f>
        <v/>
      </c>
      <c r="S20">
        <f>IF(R20&gt;=80,"STRONG MATCH",IF(R20&gt;=60,"GOOD MATCH",IF(R20&gt;=40,"MODERATE / STRETCH",IF(R20&gt;=20,"POSSIBLE — GAPS EXIST","NOT RECOMMENDED NOW"))))</f>
        <v/>
      </c>
      <c r="T20">
        <f>IFERROR(SUMPRODUCT(($A$231:$A$313='MY PROFILE'!C10)*($B$231:$B$313=C20)*($C$231:$C$313)),999)</f>
        <v/>
      </c>
    </row>
    <row r="21">
      <c r="A21">
        <f>'ADMIN - POSITIONS'!A21</f>
        <v/>
      </c>
      <c r="B21">
        <f>'ADMIN - POSITIONS'!B21</f>
        <v/>
      </c>
      <c r="C21">
        <f>'ADMIN - POSITIONS'!D21</f>
        <v/>
      </c>
      <c r="D21">
        <f>'ADMIN - POSITIONS'!E21</f>
        <v/>
      </c>
      <c r="E21">
        <f>'ADMIN - POSITIONS'!F21</f>
        <v/>
      </c>
      <c r="F21">
        <f>'ADMIN - POSITIONS'!G21</f>
        <v/>
      </c>
      <c r="G21">
        <f>'ADMIN - POSITIONS'!H21</f>
        <v/>
      </c>
      <c r="H21">
        <f>'ADMIN - POSITIONS'!J21</f>
        <v/>
      </c>
      <c r="I21">
        <f>'ADMIN - POSITIONS'!K21</f>
        <v/>
      </c>
      <c r="J21">
        <f>'ADMIN - POSITIONS'!L21</f>
        <v/>
      </c>
      <c r="K21">
        <f>'ADMIN - POSITIONS'!M21</f>
        <v/>
      </c>
      <c r="L21">
        <f>'ADMIN - POSITIONS'!N21</f>
        <v/>
      </c>
      <c r="M21">
        <f>IF(E21=""," ",IF(EXACT(E21,'MY PROFILE'!E6)=FALSE,0,IF(AND(EXACT(F21,'MY PROFILE'!E6),EXACT(E21,'MY PROFILE'!C25)),35,IF(AND(EXACT(F21,'MY PROFILE'!E6),EXACT(E21,'MY PROFILE'!C6)),25,10))))</f>
        <v/>
      </c>
      <c r="N21">
        <f>IF(G21="","",IF(EXACT(G21,'MY PROFILE'!C7),30,IF(EXACT('MY PROFILE'!G27,"Yes"),10,0)))</f>
        <v/>
      </c>
      <c r="O21">
        <f>IF(T21=999,0,IF('MY PROFILE'!G10="No Limit",15,IF('MY PROFILE'!G10="30 Minutes",IF(T21&lt;=30,15,IF(T21&lt;=60,8,IF(T21&lt;=90,3,0))),IF('MY PROFILE'!G10="1 Hour",IF(T21&lt;=60,15,IF(T21&lt;=90,8,IF(T21&lt;=120,3,0))),IF('MY PROFILE'!G10="1.5 Hours",IF(T21&lt;=90,15,IF(T21&lt;=120,8,IF(T21&lt;=150,3,0))),IF('MY PROFILE'!G10="2 Hours",IF(T21&lt;=120,15,IF(T21&lt;=150,8,IF(T21&lt;=180,3,0))),IF('MY PROFILE'!G10="3 Hours",IF(T21&lt;=180,15,IF(T21&lt;=240,5,0)),15)))))))</f>
        <v/>
      </c>
      <c r="P21">
        <f>IF(EXACT('MY PROFILE'!C26,"Pursue Command"),IF(EXACT(I21,"Yes"),15,5),IF(EXACT('MY PROFILE'!C26,"Promote to Next Grade"),IF(EXACT(H21,"Leadership"),12,IF(EXACT(H21,"Staff"),10,8)),IF(EXACT('MY PROFILE'!C26,"Move to Staff"),IF(EXACT(H21,"Staff"),15,IF(EXACT(H21,"Technical"),10,5)),IF(EXACT('MY PROFILE'!C26,"Pursue AGR Full-Time"),IF(EXACT(J21,"AGR"),15,IF(EXACT(J21,"M-Day"),5,10)),8))))</f>
        <v/>
      </c>
      <c r="Q21">
        <f>IF(EXACT('MY PROFILE'!G6,"M-Day"),IF(EXACT(J21,"M-Day"),5,IF(EXACT(J21,"AGR"),1,3)),IF(EXACT('MY PROFILE'!G6,"AGR"),IF(EXACT(J21,"AGR"),5,IF(EXACT(J21,"M-Day"),2,3)),3))</f>
        <v/>
      </c>
      <c r="R21">
        <f>IFERROR(M21+N21+O21+P21+Q21,0)</f>
        <v/>
      </c>
      <c r="S21">
        <f>IF(R21&gt;=80,"STRONG MATCH",IF(R21&gt;=60,"GOOD MATCH",IF(R21&gt;=40,"MODERATE / STRETCH",IF(R21&gt;=20,"POSSIBLE — GAPS EXIST","NOT RECOMMENDED NOW"))))</f>
        <v/>
      </c>
      <c r="T21">
        <f>IFERROR(SUMPRODUCT(($A$231:$A$313='MY PROFILE'!C10)*($B$231:$B$313=C21)*($C$231:$C$313)),999)</f>
        <v/>
      </c>
    </row>
    <row r="22">
      <c r="A22">
        <f>'ADMIN - POSITIONS'!A22</f>
        <v/>
      </c>
      <c r="B22">
        <f>'ADMIN - POSITIONS'!B22</f>
        <v/>
      </c>
      <c r="C22">
        <f>'ADMIN - POSITIONS'!D22</f>
        <v/>
      </c>
      <c r="D22">
        <f>'ADMIN - POSITIONS'!E22</f>
        <v/>
      </c>
      <c r="E22">
        <f>'ADMIN - POSITIONS'!F22</f>
        <v/>
      </c>
      <c r="F22">
        <f>'ADMIN - POSITIONS'!G22</f>
        <v/>
      </c>
      <c r="G22">
        <f>'ADMIN - POSITIONS'!H22</f>
        <v/>
      </c>
      <c r="H22">
        <f>'ADMIN - POSITIONS'!J22</f>
        <v/>
      </c>
      <c r="I22">
        <f>'ADMIN - POSITIONS'!K22</f>
        <v/>
      </c>
      <c r="J22">
        <f>'ADMIN - POSITIONS'!L22</f>
        <v/>
      </c>
      <c r="K22">
        <f>'ADMIN - POSITIONS'!M22</f>
        <v/>
      </c>
      <c r="L22">
        <f>'ADMIN - POSITIONS'!N22</f>
        <v/>
      </c>
      <c r="M22">
        <f>IF(E22=""," ",IF(EXACT(E22,'MY PROFILE'!E6)=FALSE,0,IF(AND(EXACT(F22,'MY PROFILE'!E6),EXACT(E22,'MY PROFILE'!C25)),35,IF(AND(EXACT(F22,'MY PROFILE'!E6),EXACT(E22,'MY PROFILE'!C6)),25,10))))</f>
        <v/>
      </c>
      <c r="N22">
        <f>IF(G22="","",IF(EXACT(G22,'MY PROFILE'!C7),30,IF(EXACT('MY PROFILE'!G27,"Yes"),10,0)))</f>
        <v/>
      </c>
      <c r="O22">
        <f>IF(T22=999,0,IF('MY PROFILE'!G10="No Limit",15,IF('MY PROFILE'!G10="30 Minutes",IF(T22&lt;=30,15,IF(T22&lt;=60,8,IF(T22&lt;=90,3,0))),IF('MY PROFILE'!G10="1 Hour",IF(T22&lt;=60,15,IF(T22&lt;=90,8,IF(T22&lt;=120,3,0))),IF('MY PROFILE'!G10="1.5 Hours",IF(T22&lt;=90,15,IF(T22&lt;=120,8,IF(T22&lt;=150,3,0))),IF('MY PROFILE'!G10="2 Hours",IF(T22&lt;=120,15,IF(T22&lt;=150,8,IF(T22&lt;=180,3,0))),IF('MY PROFILE'!G10="3 Hours",IF(T22&lt;=180,15,IF(T22&lt;=240,5,0)),15)))))))</f>
        <v/>
      </c>
      <c r="P22">
        <f>IF(EXACT('MY PROFILE'!C26,"Pursue Command"),IF(EXACT(I22,"Yes"),15,5),IF(EXACT('MY PROFILE'!C26,"Promote to Next Grade"),IF(EXACT(H22,"Leadership"),12,IF(EXACT(H22,"Staff"),10,8)),IF(EXACT('MY PROFILE'!C26,"Move to Staff"),IF(EXACT(H22,"Staff"),15,IF(EXACT(H22,"Technical"),10,5)),IF(EXACT('MY PROFILE'!C26,"Pursue AGR Full-Time"),IF(EXACT(J22,"AGR"),15,IF(EXACT(J22,"M-Day"),5,10)),8))))</f>
        <v/>
      </c>
      <c r="Q22">
        <f>IF(EXACT('MY PROFILE'!G6,"M-Day"),IF(EXACT(J22,"M-Day"),5,IF(EXACT(J22,"AGR"),1,3)),IF(EXACT('MY PROFILE'!G6,"AGR"),IF(EXACT(J22,"AGR"),5,IF(EXACT(J22,"M-Day"),2,3)),3))</f>
        <v/>
      </c>
      <c r="R22">
        <f>IFERROR(M22+N22+O22+P22+Q22,0)</f>
        <v/>
      </c>
      <c r="S22">
        <f>IF(R22&gt;=80,"STRONG MATCH",IF(R22&gt;=60,"GOOD MATCH",IF(R22&gt;=40,"MODERATE / STRETCH",IF(R22&gt;=20,"POSSIBLE — GAPS EXIST","NOT RECOMMENDED NOW"))))</f>
        <v/>
      </c>
      <c r="T22">
        <f>IFERROR(SUMPRODUCT(($A$231:$A$313='MY PROFILE'!C10)*($B$231:$B$313=C22)*($C$231:$C$313)),999)</f>
        <v/>
      </c>
    </row>
    <row r="23">
      <c r="A23">
        <f>'ADMIN - POSITIONS'!A23</f>
        <v/>
      </c>
      <c r="B23">
        <f>'ADMIN - POSITIONS'!B23</f>
        <v/>
      </c>
      <c r="C23">
        <f>'ADMIN - POSITIONS'!D23</f>
        <v/>
      </c>
      <c r="D23">
        <f>'ADMIN - POSITIONS'!E23</f>
        <v/>
      </c>
      <c r="E23">
        <f>'ADMIN - POSITIONS'!F23</f>
        <v/>
      </c>
      <c r="F23">
        <f>'ADMIN - POSITIONS'!G23</f>
        <v/>
      </c>
      <c r="G23">
        <f>'ADMIN - POSITIONS'!H23</f>
        <v/>
      </c>
      <c r="H23">
        <f>'ADMIN - POSITIONS'!J23</f>
        <v/>
      </c>
      <c r="I23">
        <f>'ADMIN - POSITIONS'!K23</f>
        <v/>
      </c>
      <c r="J23">
        <f>'ADMIN - POSITIONS'!L23</f>
        <v/>
      </c>
      <c r="K23">
        <f>'ADMIN - POSITIONS'!M23</f>
        <v/>
      </c>
      <c r="L23">
        <f>'ADMIN - POSITIONS'!N23</f>
        <v/>
      </c>
      <c r="M23">
        <f>IF(E23=""," ",IF(EXACT(E23,'MY PROFILE'!E6)=FALSE,0,IF(AND(EXACT(F23,'MY PROFILE'!E6),EXACT(E23,'MY PROFILE'!C25)),35,IF(AND(EXACT(F23,'MY PROFILE'!E6),EXACT(E23,'MY PROFILE'!C6)),25,10))))</f>
        <v/>
      </c>
      <c r="N23">
        <f>IF(G23="","",IF(EXACT(G23,'MY PROFILE'!C7),30,IF(EXACT('MY PROFILE'!G27,"Yes"),10,0)))</f>
        <v/>
      </c>
      <c r="O23">
        <f>IF(T23=999,0,IF('MY PROFILE'!G10="No Limit",15,IF('MY PROFILE'!G10="30 Minutes",IF(T23&lt;=30,15,IF(T23&lt;=60,8,IF(T23&lt;=90,3,0))),IF('MY PROFILE'!G10="1 Hour",IF(T23&lt;=60,15,IF(T23&lt;=90,8,IF(T23&lt;=120,3,0))),IF('MY PROFILE'!G10="1.5 Hours",IF(T23&lt;=90,15,IF(T23&lt;=120,8,IF(T23&lt;=150,3,0))),IF('MY PROFILE'!G10="2 Hours",IF(T23&lt;=120,15,IF(T23&lt;=150,8,IF(T23&lt;=180,3,0))),IF('MY PROFILE'!G10="3 Hours",IF(T23&lt;=180,15,IF(T23&lt;=240,5,0)),15)))))))</f>
        <v/>
      </c>
      <c r="P23">
        <f>IF(EXACT('MY PROFILE'!C26,"Pursue Command"),IF(EXACT(I23,"Yes"),15,5),IF(EXACT('MY PROFILE'!C26,"Promote to Next Grade"),IF(EXACT(H23,"Leadership"),12,IF(EXACT(H23,"Staff"),10,8)),IF(EXACT('MY PROFILE'!C26,"Move to Staff"),IF(EXACT(H23,"Staff"),15,IF(EXACT(H23,"Technical"),10,5)),IF(EXACT('MY PROFILE'!C26,"Pursue AGR Full-Time"),IF(EXACT(J23,"AGR"),15,IF(EXACT(J23,"M-Day"),5,10)),8))))</f>
        <v/>
      </c>
      <c r="Q23">
        <f>IF(EXACT('MY PROFILE'!G6,"M-Day"),IF(EXACT(J23,"M-Day"),5,IF(EXACT(J23,"AGR"),1,3)),IF(EXACT('MY PROFILE'!G6,"AGR"),IF(EXACT(J23,"AGR"),5,IF(EXACT(J23,"M-Day"),2,3)),3))</f>
        <v/>
      </c>
      <c r="R23">
        <f>IFERROR(M23+N23+O23+P23+Q23,0)</f>
        <v/>
      </c>
      <c r="S23">
        <f>IF(R23&gt;=80,"STRONG MATCH",IF(R23&gt;=60,"GOOD MATCH",IF(R23&gt;=40,"MODERATE / STRETCH",IF(R23&gt;=20,"POSSIBLE — GAPS EXIST","NOT RECOMMENDED NOW"))))</f>
        <v/>
      </c>
      <c r="T23">
        <f>IFERROR(SUMPRODUCT(($A$231:$A$313='MY PROFILE'!C10)*($B$231:$B$313=C23)*($C$231:$C$313)),999)</f>
        <v/>
      </c>
    </row>
    <row r="24">
      <c r="A24">
        <f>'ADMIN - POSITIONS'!A24</f>
        <v/>
      </c>
      <c r="B24">
        <f>'ADMIN - POSITIONS'!B24</f>
        <v/>
      </c>
      <c r="C24">
        <f>'ADMIN - POSITIONS'!D24</f>
        <v/>
      </c>
      <c r="D24">
        <f>'ADMIN - POSITIONS'!E24</f>
        <v/>
      </c>
      <c r="E24">
        <f>'ADMIN - POSITIONS'!F24</f>
        <v/>
      </c>
      <c r="F24">
        <f>'ADMIN - POSITIONS'!G24</f>
        <v/>
      </c>
      <c r="G24">
        <f>'ADMIN - POSITIONS'!H24</f>
        <v/>
      </c>
      <c r="H24">
        <f>'ADMIN - POSITIONS'!J24</f>
        <v/>
      </c>
      <c r="I24">
        <f>'ADMIN - POSITIONS'!K24</f>
        <v/>
      </c>
      <c r="J24">
        <f>'ADMIN - POSITIONS'!L24</f>
        <v/>
      </c>
      <c r="K24">
        <f>'ADMIN - POSITIONS'!M24</f>
        <v/>
      </c>
      <c r="L24">
        <f>'ADMIN - POSITIONS'!N24</f>
        <v/>
      </c>
      <c r="M24">
        <f>IF(E24=""," ",IF(EXACT(E24,'MY PROFILE'!E6)=FALSE,0,IF(AND(EXACT(F24,'MY PROFILE'!E6),EXACT(E24,'MY PROFILE'!C25)),35,IF(AND(EXACT(F24,'MY PROFILE'!E6),EXACT(E24,'MY PROFILE'!C6)),25,10))))</f>
        <v/>
      </c>
      <c r="N24">
        <f>IF(G24="","",IF(EXACT(G24,'MY PROFILE'!C7),30,IF(EXACT('MY PROFILE'!G27,"Yes"),10,0)))</f>
        <v/>
      </c>
      <c r="O24">
        <f>IF(T24=999,0,IF('MY PROFILE'!G10="No Limit",15,IF('MY PROFILE'!G10="30 Minutes",IF(T24&lt;=30,15,IF(T24&lt;=60,8,IF(T24&lt;=90,3,0))),IF('MY PROFILE'!G10="1 Hour",IF(T24&lt;=60,15,IF(T24&lt;=90,8,IF(T24&lt;=120,3,0))),IF('MY PROFILE'!G10="1.5 Hours",IF(T24&lt;=90,15,IF(T24&lt;=120,8,IF(T24&lt;=150,3,0))),IF('MY PROFILE'!G10="2 Hours",IF(T24&lt;=120,15,IF(T24&lt;=150,8,IF(T24&lt;=180,3,0))),IF('MY PROFILE'!G10="3 Hours",IF(T24&lt;=180,15,IF(T24&lt;=240,5,0)),15)))))))</f>
        <v/>
      </c>
      <c r="P24">
        <f>IF(EXACT('MY PROFILE'!C26,"Pursue Command"),IF(EXACT(I24,"Yes"),15,5),IF(EXACT('MY PROFILE'!C26,"Promote to Next Grade"),IF(EXACT(H24,"Leadership"),12,IF(EXACT(H24,"Staff"),10,8)),IF(EXACT('MY PROFILE'!C26,"Move to Staff"),IF(EXACT(H24,"Staff"),15,IF(EXACT(H24,"Technical"),10,5)),IF(EXACT('MY PROFILE'!C26,"Pursue AGR Full-Time"),IF(EXACT(J24,"AGR"),15,IF(EXACT(J24,"M-Day"),5,10)),8))))</f>
        <v/>
      </c>
      <c r="Q24">
        <f>IF(EXACT('MY PROFILE'!G6,"M-Day"),IF(EXACT(J24,"M-Day"),5,IF(EXACT(J24,"AGR"),1,3)),IF(EXACT('MY PROFILE'!G6,"AGR"),IF(EXACT(J24,"AGR"),5,IF(EXACT(J24,"M-Day"),2,3)),3))</f>
        <v/>
      </c>
      <c r="R24">
        <f>IFERROR(M24+N24+O24+P24+Q24,0)</f>
        <v/>
      </c>
      <c r="S24">
        <f>IF(R24&gt;=80,"STRONG MATCH",IF(R24&gt;=60,"GOOD MATCH",IF(R24&gt;=40,"MODERATE / STRETCH",IF(R24&gt;=20,"POSSIBLE — GAPS EXIST","NOT RECOMMENDED NOW"))))</f>
        <v/>
      </c>
      <c r="T24">
        <f>IFERROR(SUMPRODUCT(($A$231:$A$313='MY PROFILE'!C10)*($B$231:$B$313=C24)*($C$231:$C$313)),999)</f>
        <v/>
      </c>
    </row>
    <row r="25">
      <c r="A25">
        <f>'ADMIN - POSITIONS'!A25</f>
        <v/>
      </c>
      <c r="B25">
        <f>'ADMIN - POSITIONS'!B25</f>
        <v/>
      </c>
      <c r="C25">
        <f>'ADMIN - POSITIONS'!D25</f>
        <v/>
      </c>
      <c r="D25">
        <f>'ADMIN - POSITIONS'!E25</f>
        <v/>
      </c>
      <c r="E25">
        <f>'ADMIN - POSITIONS'!F25</f>
        <v/>
      </c>
      <c r="F25">
        <f>'ADMIN - POSITIONS'!G25</f>
        <v/>
      </c>
      <c r="G25">
        <f>'ADMIN - POSITIONS'!H25</f>
        <v/>
      </c>
      <c r="H25">
        <f>'ADMIN - POSITIONS'!J25</f>
        <v/>
      </c>
      <c r="I25">
        <f>'ADMIN - POSITIONS'!K25</f>
        <v/>
      </c>
      <c r="J25">
        <f>'ADMIN - POSITIONS'!L25</f>
        <v/>
      </c>
      <c r="K25">
        <f>'ADMIN - POSITIONS'!M25</f>
        <v/>
      </c>
      <c r="L25">
        <f>'ADMIN - POSITIONS'!N25</f>
        <v/>
      </c>
      <c r="M25">
        <f>IF(E25=""," ",IF(EXACT(E25,'MY PROFILE'!E6)=FALSE,0,IF(AND(EXACT(F25,'MY PROFILE'!E6),EXACT(E25,'MY PROFILE'!C25)),35,IF(AND(EXACT(F25,'MY PROFILE'!E6),EXACT(E25,'MY PROFILE'!C6)),25,10))))</f>
        <v/>
      </c>
      <c r="N25">
        <f>IF(G25="","",IF(EXACT(G25,'MY PROFILE'!C7),30,IF(EXACT('MY PROFILE'!G27,"Yes"),10,0)))</f>
        <v/>
      </c>
      <c r="O25">
        <f>IF(T25=999,0,IF('MY PROFILE'!G10="No Limit",15,IF('MY PROFILE'!G10="30 Minutes",IF(T25&lt;=30,15,IF(T25&lt;=60,8,IF(T25&lt;=90,3,0))),IF('MY PROFILE'!G10="1 Hour",IF(T25&lt;=60,15,IF(T25&lt;=90,8,IF(T25&lt;=120,3,0))),IF('MY PROFILE'!G10="1.5 Hours",IF(T25&lt;=90,15,IF(T25&lt;=120,8,IF(T25&lt;=150,3,0))),IF('MY PROFILE'!G10="2 Hours",IF(T25&lt;=120,15,IF(T25&lt;=150,8,IF(T25&lt;=180,3,0))),IF('MY PROFILE'!G10="3 Hours",IF(T25&lt;=180,15,IF(T25&lt;=240,5,0)),15)))))))</f>
        <v/>
      </c>
      <c r="P25">
        <f>IF(EXACT('MY PROFILE'!C26,"Pursue Command"),IF(EXACT(I25,"Yes"),15,5),IF(EXACT('MY PROFILE'!C26,"Promote to Next Grade"),IF(EXACT(H25,"Leadership"),12,IF(EXACT(H25,"Staff"),10,8)),IF(EXACT('MY PROFILE'!C26,"Move to Staff"),IF(EXACT(H25,"Staff"),15,IF(EXACT(H25,"Technical"),10,5)),IF(EXACT('MY PROFILE'!C26,"Pursue AGR Full-Time"),IF(EXACT(J25,"AGR"),15,IF(EXACT(J25,"M-Day"),5,10)),8))))</f>
        <v/>
      </c>
      <c r="Q25">
        <f>IF(EXACT('MY PROFILE'!G6,"M-Day"),IF(EXACT(J25,"M-Day"),5,IF(EXACT(J25,"AGR"),1,3)),IF(EXACT('MY PROFILE'!G6,"AGR"),IF(EXACT(J25,"AGR"),5,IF(EXACT(J25,"M-Day"),2,3)),3))</f>
        <v/>
      </c>
      <c r="R25">
        <f>IFERROR(M25+N25+O25+P25+Q25,0)</f>
        <v/>
      </c>
      <c r="S25">
        <f>IF(R25&gt;=80,"STRONG MATCH",IF(R25&gt;=60,"GOOD MATCH",IF(R25&gt;=40,"MODERATE / STRETCH",IF(R25&gt;=20,"POSSIBLE — GAPS EXIST","NOT RECOMMENDED NOW"))))</f>
        <v/>
      </c>
      <c r="T25">
        <f>IFERROR(SUMPRODUCT(($A$231:$A$313='MY PROFILE'!C10)*($B$231:$B$313=C25)*($C$231:$C$313)),999)</f>
        <v/>
      </c>
    </row>
    <row r="26">
      <c r="A26">
        <f>'ADMIN - POSITIONS'!A26</f>
        <v/>
      </c>
      <c r="B26">
        <f>'ADMIN - POSITIONS'!B26</f>
        <v/>
      </c>
      <c r="C26">
        <f>'ADMIN - POSITIONS'!D26</f>
        <v/>
      </c>
      <c r="D26">
        <f>'ADMIN - POSITIONS'!E26</f>
        <v/>
      </c>
      <c r="E26">
        <f>'ADMIN - POSITIONS'!F26</f>
        <v/>
      </c>
      <c r="F26">
        <f>'ADMIN - POSITIONS'!G26</f>
        <v/>
      </c>
      <c r="G26">
        <f>'ADMIN - POSITIONS'!H26</f>
        <v/>
      </c>
      <c r="H26">
        <f>'ADMIN - POSITIONS'!J26</f>
        <v/>
      </c>
      <c r="I26">
        <f>'ADMIN - POSITIONS'!K26</f>
        <v/>
      </c>
      <c r="J26">
        <f>'ADMIN - POSITIONS'!L26</f>
        <v/>
      </c>
      <c r="K26">
        <f>'ADMIN - POSITIONS'!M26</f>
        <v/>
      </c>
      <c r="L26">
        <f>'ADMIN - POSITIONS'!N26</f>
        <v/>
      </c>
      <c r="M26">
        <f>IF(E26=""," ",IF(EXACT(E26,'MY PROFILE'!E6)=FALSE,0,IF(AND(EXACT(F26,'MY PROFILE'!E6),EXACT(E26,'MY PROFILE'!C25)),35,IF(AND(EXACT(F26,'MY PROFILE'!E6),EXACT(E26,'MY PROFILE'!C6)),25,10))))</f>
        <v/>
      </c>
      <c r="N26">
        <f>IF(G26="","",IF(EXACT(G26,'MY PROFILE'!C7),30,IF(EXACT('MY PROFILE'!G27,"Yes"),10,0)))</f>
        <v/>
      </c>
      <c r="O26">
        <f>IF(T26=999,0,IF('MY PROFILE'!G10="No Limit",15,IF('MY PROFILE'!G10="30 Minutes",IF(T26&lt;=30,15,IF(T26&lt;=60,8,IF(T26&lt;=90,3,0))),IF('MY PROFILE'!G10="1 Hour",IF(T26&lt;=60,15,IF(T26&lt;=90,8,IF(T26&lt;=120,3,0))),IF('MY PROFILE'!G10="1.5 Hours",IF(T26&lt;=90,15,IF(T26&lt;=120,8,IF(T26&lt;=150,3,0))),IF('MY PROFILE'!G10="2 Hours",IF(T26&lt;=120,15,IF(T26&lt;=150,8,IF(T26&lt;=180,3,0))),IF('MY PROFILE'!G10="3 Hours",IF(T26&lt;=180,15,IF(T26&lt;=240,5,0)),15)))))))</f>
        <v/>
      </c>
      <c r="P26">
        <f>IF(EXACT('MY PROFILE'!C26,"Pursue Command"),IF(EXACT(I26,"Yes"),15,5),IF(EXACT('MY PROFILE'!C26,"Promote to Next Grade"),IF(EXACT(H26,"Leadership"),12,IF(EXACT(H26,"Staff"),10,8)),IF(EXACT('MY PROFILE'!C26,"Move to Staff"),IF(EXACT(H26,"Staff"),15,IF(EXACT(H26,"Technical"),10,5)),IF(EXACT('MY PROFILE'!C26,"Pursue AGR Full-Time"),IF(EXACT(J26,"AGR"),15,IF(EXACT(J26,"M-Day"),5,10)),8))))</f>
        <v/>
      </c>
      <c r="Q26">
        <f>IF(EXACT('MY PROFILE'!G6,"M-Day"),IF(EXACT(J26,"M-Day"),5,IF(EXACT(J26,"AGR"),1,3)),IF(EXACT('MY PROFILE'!G6,"AGR"),IF(EXACT(J26,"AGR"),5,IF(EXACT(J26,"M-Day"),2,3)),3))</f>
        <v/>
      </c>
      <c r="R26">
        <f>IFERROR(M26+N26+O26+P26+Q26,0)</f>
        <v/>
      </c>
      <c r="S26">
        <f>IF(R26&gt;=80,"STRONG MATCH",IF(R26&gt;=60,"GOOD MATCH",IF(R26&gt;=40,"MODERATE / STRETCH",IF(R26&gt;=20,"POSSIBLE — GAPS EXIST","NOT RECOMMENDED NOW"))))</f>
        <v/>
      </c>
      <c r="T26">
        <f>IFERROR(SUMPRODUCT(($A$231:$A$313='MY PROFILE'!C10)*($B$231:$B$313=C26)*($C$231:$C$313)),999)</f>
        <v/>
      </c>
    </row>
    <row r="27">
      <c r="A27">
        <f>'ADMIN - POSITIONS'!A27</f>
        <v/>
      </c>
      <c r="B27">
        <f>'ADMIN - POSITIONS'!B27</f>
        <v/>
      </c>
      <c r="C27">
        <f>'ADMIN - POSITIONS'!D27</f>
        <v/>
      </c>
      <c r="D27">
        <f>'ADMIN - POSITIONS'!E27</f>
        <v/>
      </c>
      <c r="E27">
        <f>'ADMIN - POSITIONS'!F27</f>
        <v/>
      </c>
      <c r="F27">
        <f>'ADMIN - POSITIONS'!G27</f>
        <v/>
      </c>
      <c r="G27">
        <f>'ADMIN - POSITIONS'!H27</f>
        <v/>
      </c>
      <c r="H27">
        <f>'ADMIN - POSITIONS'!J27</f>
        <v/>
      </c>
      <c r="I27">
        <f>'ADMIN - POSITIONS'!K27</f>
        <v/>
      </c>
      <c r="J27">
        <f>'ADMIN - POSITIONS'!L27</f>
        <v/>
      </c>
      <c r="K27">
        <f>'ADMIN - POSITIONS'!M27</f>
        <v/>
      </c>
      <c r="L27">
        <f>'ADMIN - POSITIONS'!N27</f>
        <v/>
      </c>
      <c r="M27">
        <f>IF(E27=""," ",IF(EXACT(E27,'MY PROFILE'!E6)=FALSE,0,IF(AND(EXACT(F27,'MY PROFILE'!E6),EXACT(E27,'MY PROFILE'!C25)),35,IF(AND(EXACT(F27,'MY PROFILE'!E6),EXACT(E27,'MY PROFILE'!C6)),25,10))))</f>
        <v/>
      </c>
      <c r="N27">
        <f>IF(G27="","",IF(EXACT(G27,'MY PROFILE'!C7),30,IF(EXACT('MY PROFILE'!G27,"Yes"),10,0)))</f>
        <v/>
      </c>
      <c r="O27">
        <f>IF(T27=999,0,IF('MY PROFILE'!G10="No Limit",15,IF('MY PROFILE'!G10="30 Minutes",IF(T27&lt;=30,15,IF(T27&lt;=60,8,IF(T27&lt;=90,3,0))),IF('MY PROFILE'!G10="1 Hour",IF(T27&lt;=60,15,IF(T27&lt;=90,8,IF(T27&lt;=120,3,0))),IF('MY PROFILE'!G10="1.5 Hours",IF(T27&lt;=90,15,IF(T27&lt;=120,8,IF(T27&lt;=150,3,0))),IF('MY PROFILE'!G10="2 Hours",IF(T27&lt;=120,15,IF(T27&lt;=150,8,IF(T27&lt;=180,3,0))),IF('MY PROFILE'!G10="3 Hours",IF(T27&lt;=180,15,IF(T27&lt;=240,5,0)),15)))))))</f>
        <v/>
      </c>
      <c r="P27">
        <f>IF(EXACT('MY PROFILE'!C26,"Pursue Command"),IF(EXACT(I27,"Yes"),15,5),IF(EXACT('MY PROFILE'!C26,"Promote to Next Grade"),IF(EXACT(H27,"Leadership"),12,IF(EXACT(H27,"Staff"),10,8)),IF(EXACT('MY PROFILE'!C26,"Move to Staff"),IF(EXACT(H27,"Staff"),15,IF(EXACT(H27,"Technical"),10,5)),IF(EXACT('MY PROFILE'!C26,"Pursue AGR Full-Time"),IF(EXACT(J27,"AGR"),15,IF(EXACT(J27,"M-Day"),5,10)),8))))</f>
        <v/>
      </c>
      <c r="Q27">
        <f>IF(EXACT('MY PROFILE'!G6,"M-Day"),IF(EXACT(J27,"M-Day"),5,IF(EXACT(J27,"AGR"),1,3)),IF(EXACT('MY PROFILE'!G6,"AGR"),IF(EXACT(J27,"AGR"),5,IF(EXACT(J27,"M-Day"),2,3)),3))</f>
        <v/>
      </c>
      <c r="R27">
        <f>IFERROR(M27+N27+O27+P27+Q27,0)</f>
        <v/>
      </c>
      <c r="S27">
        <f>IF(R27&gt;=80,"STRONG MATCH",IF(R27&gt;=60,"GOOD MATCH",IF(R27&gt;=40,"MODERATE / STRETCH",IF(R27&gt;=20,"POSSIBLE — GAPS EXIST","NOT RECOMMENDED NOW"))))</f>
        <v/>
      </c>
      <c r="T27">
        <f>IFERROR(SUMPRODUCT(($A$231:$A$313='MY PROFILE'!C10)*($B$231:$B$313=C27)*($C$231:$C$313)),999)</f>
        <v/>
      </c>
    </row>
    <row r="28">
      <c r="A28">
        <f>'ADMIN - POSITIONS'!A28</f>
        <v/>
      </c>
      <c r="B28">
        <f>'ADMIN - POSITIONS'!B28</f>
        <v/>
      </c>
      <c r="C28">
        <f>'ADMIN - POSITIONS'!D28</f>
        <v/>
      </c>
      <c r="D28">
        <f>'ADMIN - POSITIONS'!E28</f>
        <v/>
      </c>
      <c r="E28">
        <f>'ADMIN - POSITIONS'!F28</f>
        <v/>
      </c>
      <c r="F28">
        <f>'ADMIN - POSITIONS'!G28</f>
        <v/>
      </c>
      <c r="G28">
        <f>'ADMIN - POSITIONS'!H28</f>
        <v/>
      </c>
      <c r="H28">
        <f>'ADMIN - POSITIONS'!J28</f>
        <v/>
      </c>
      <c r="I28">
        <f>'ADMIN - POSITIONS'!K28</f>
        <v/>
      </c>
      <c r="J28">
        <f>'ADMIN - POSITIONS'!L28</f>
        <v/>
      </c>
      <c r="K28">
        <f>'ADMIN - POSITIONS'!M28</f>
        <v/>
      </c>
      <c r="L28">
        <f>'ADMIN - POSITIONS'!N28</f>
        <v/>
      </c>
      <c r="M28">
        <f>IF(E28=""," ",IF(EXACT(E28,'MY PROFILE'!E6)=FALSE,0,IF(AND(EXACT(F28,'MY PROFILE'!E6),EXACT(E28,'MY PROFILE'!C25)),35,IF(AND(EXACT(F28,'MY PROFILE'!E6),EXACT(E28,'MY PROFILE'!C6)),25,10))))</f>
        <v/>
      </c>
      <c r="N28">
        <f>IF(G28="","",IF(EXACT(G28,'MY PROFILE'!C7),30,IF(EXACT('MY PROFILE'!G27,"Yes"),10,0)))</f>
        <v/>
      </c>
      <c r="O28">
        <f>IF(T28=999,0,IF('MY PROFILE'!G10="No Limit",15,IF('MY PROFILE'!G10="30 Minutes",IF(T28&lt;=30,15,IF(T28&lt;=60,8,IF(T28&lt;=90,3,0))),IF('MY PROFILE'!G10="1 Hour",IF(T28&lt;=60,15,IF(T28&lt;=90,8,IF(T28&lt;=120,3,0))),IF('MY PROFILE'!G10="1.5 Hours",IF(T28&lt;=90,15,IF(T28&lt;=120,8,IF(T28&lt;=150,3,0))),IF('MY PROFILE'!G10="2 Hours",IF(T28&lt;=120,15,IF(T28&lt;=150,8,IF(T28&lt;=180,3,0))),IF('MY PROFILE'!G10="3 Hours",IF(T28&lt;=180,15,IF(T28&lt;=240,5,0)),15)))))))</f>
        <v/>
      </c>
      <c r="P28">
        <f>IF(EXACT('MY PROFILE'!C26,"Pursue Command"),IF(EXACT(I28,"Yes"),15,5),IF(EXACT('MY PROFILE'!C26,"Promote to Next Grade"),IF(EXACT(H28,"Leadership"),12,IF(EXACT(H28,"Staff"),10,8)),IF(EXACT('MY PROFILE'!C26,"Move to Staff"),IF(EXACT(H28,"Staff"),15,IF(EXACT(H28,"Technical"),10,5)),IF(EXACT('MY PROFILE'!C26,"Pursue AGR Full-Time"),IF(EXACT(J28,"AGR"),15,IF(EXACT(J28,"M-Day"),5,10)),8))))</f>
        <v/>
      </c>
      <c r="Q28">
        <f>IF(EXACT('MY PROFILE'!G6,"M-Day"),IF(EXACT(J28,"M-Day"),5,IF(EXACT(J28,"AGR"),1,3)),IF(EXACT('MY PROFILE'!G6,"AGR"),IF(EXACT(J28,"AGR"),5,IF(EXACT(J28,"M-Day"),2,3)),3))</f>
        <v/>
      </c>
      <c r="R28">
        <f>IFERROR(M28+N28+O28+P28+Q28,0)</f>
        <v/>
      </c>
      <c r="S28">
        <f>IF(R28&gt;=80,"STRONG MATCH",IF(R28&gt;=60,"GOOD MATCH",IF(R28&gt;=40,"MODERATE / STRETCH",IF(R28&gt;=20,"POSSIBLE — GAPS EXIST","NOT RECOMMENDED NOW"))))</f>
        <v/>
      </c>
      <c r="T28">
        <f>IFERROR(SUMPRODUCT(($A$231:$A$313='MY PROFILE'!C10)*($B$231:$B$313=C28)*($C$231:$C$313)),999)</f>
        <v/>
      </c>
    </row>
    <row r="29">
      <c r="A29">
        <f>'ADMIN - POSITIONS'!A29</f>
        <v/>
      </c>
      <c r="B29">
        <f>'ADMIN - POSITIONS'!B29</f>
        <v/>
      </c>
      <c r="C29">
        <f>'ADMIN - POSITIONS'!D29</f>
        <v/>
      </c>
      <c r="D29">
        <f>'ADMIN - POSITIONS'!E29</f>
        <v/>
      </c>
      <c r="E29">
        <f>'ADMIN - POSITIONS'!F29</f>
        <v/>
      </c>
      <c r="F29">
        <f>'ADMIN - POSITIONS'!G29</f>
        <v/>
      </c>
      <c r="G29">
        <f>'ADMIN - POSITIONS'!H29</f>
        <v/>
      </c>
      <c r="H29">
        <f>'ADMIN - POSITIONS'!J29</f>
        <v/>
      </c>
      <c r="I29">
        <f>'ADMIN - POSITIONS'!K29</f>
        <v/>
      </c>
      <c r="J29">
        <f>'ADMIN - POSITIONS'!L29</f>
        <v/>
      </c>
      <c r="K29">
        <f>'ADMIN - POSITIONS'!M29</f>
        <v/>
      </c>
      <c r="L29">
        <f>'ADMIN - POSITIONS'!N29</f>
        <v/>
      </c>
      <c r="M29">
        <f>IF(E29=""," ",IF(EXACT(E29,'MY PROFILE'!E6)=FALSE,0,IF(AND(EXACT(F29,'MY PROFILE'!E6),EXACT(E29,'MY PROFILE'!C25)),35,IF(AND(EXACT(F29,'MY PROFILE'!E6),EXACT(E29,'MY PROFILE'!C6)),25,10))))</f>
        <v/>
      </c>
      <c r="N29">
        <f>IF(G29="","",IF(EXACT(G29,'MY PROFILE'!C7),30,IF(EXACT('MY PROFILE'!G27,"Yes"),10,0)))</f>
        <v/>
      </c>
      <c r="O29">
        <f>IF(T29=999,0,IF('MY PROFILE'!G10="No Limit",15,IF('MY PROFILE'!G10="30 Minutes",IF(T29&lt;=30,15,IF(T29&lt;=60,8,IF(T29&lt;=90,3,0))),IF('MY PROFILE'!G10="1 Hour",IF(T29&lt;=60,15,IF(T29&lt;=90,8,IF(T29&lt;=120,3,0))),IF('MY PROFILE'!G10="1.5 Hours",IF(T29&lt;=90,15,IF(T29&lt;=120,8,IF(T29&lt;=150,3,0))),IF('MY PROFILE'!G10="2 Hours",IF(T29&lt;=120,15,IF(T29&lt;=150,8,IF(T29&lt;=180,3,0))),IF('MY PROFILE'!G10="3 Hours",IF(T29&lt;=180,15,IF(T29&lt;=240,5,0)),15)))))))</f>
        <v/>
      </c>
      <c r="P29">
        <f>IF(EXACT('MY PROFILE'!C26,"Pursue Command"),IF(EXACT(I29,"Yes"),15,5),IF(EXACT('MY PROFILE'!C26,"Promote to Next Grade"),IF(EXACT(H29,"Leadership"),12,IF(EXACT(H29,"Staff"),10,8)),IF(EXACT('MY PROFILE'!C26,"Move to Staff"),IF(EXACT(H29,"Staff"),15,IF(EXACT(H29,"Technical"),10,5)),IF(EXACT('MY PROFILE'!C26,"Pursue AGR Full-Time"),IF(EXACT(J29,"AGR"),15,IF(EXACT(J29,"M-Day"),5,10)),8))))</f>
        <v/>
      </c>
      <c r="Q29">
        <f>IF(EXACT('MY PROFILE'!G6,"M-Day"),IF(EXACT(J29,"M-Day"),5,IF(EXACT(J29,"AGR"),1,3)),IF(EXACT('MY PROFILE'!G6,"AGR"),IF(EXACT(J29,"AGR"),5,IF(EXACT(J29,"M-Day"),2,3)),3))</f>
        <v/>
      </c>
      <c r="R29">
        <f>IFERROR(M29+N29+O29+P29+Q29,0)</f>
        <v/>
      </c>
      <c r="S29">
        <f>IF(R29&gt;=80,"STRONG MATCH",IF(R29&gt;=60,"GOOD MATCH",IF(R29&gt;=40,"MODERATE / STRETCH",IF(R29&gt;=20,"POSSIBLE — GAPS EXIST","NOT RECOMMENDED NOW"))))</f>
        <v/>
      </c>
      <c r="T29">
        <f>IFERROR(SUMPRODUCT(($A$231:$A$313='MY PROFILE'!C10)*($B$231:$B$313=C29)*($C$231:$C$313)),999)</f>
        <v/>
      </c>
    </row>
    <row r="30">
      <c r="A30">
        <f>'ADMIN - POSITIONS'!A30</f>
        <v/>
      </c>
      <c r="B30">
        <f>'ADMIN - POSITIONS'!B30</f>
        <v/>
      </c>
      <c r="C30">
        <f>'ADMIN - POSITIONS'!D30</f>
        <v/>
      </c>
      <c r="D30">
        <f>'ADMIN - POSITIONS'!E30</f>
        <v/>
      </c>
      <c r="E30">
        <f>'ADMIN - POSITIONS'!F30</f>
        <v/>
      </c>
      <c r="F30">
        <f>'ADMIN - POSITIONS'!G30</f>
        <v/>
      </c>
      <c r="G30">
        <f>'ADMIN - POSITIONS'!H30</f>
        <v/>
      </c>
      <c r="H30">
        <f>'ADMIN - POSITIONS'!J30</f>
        <v/>
      </c>
      <c r="I30">
        <f>'ADMIN - POSITIONS'!K30</f>
        <v/>
      </c>
      <c r="J30">
        <f>'ADMIN - POSITIONS'!L30</f>
        <v/>
      </c>
      <c r="K30">
        <f>'ADMIN - POSITIONS'!M30</f>
        <v/>
      </c>
      <c r="L30">
        <f>'ADMIN - POSITIONS'!N30</f>
        <v/>
      </c>
      <c r="M30">
        <f>IF(E30=""," ",IF(EXACT(E30,'MY PROFILE'!E6)=FALSE,0,IF(AND(EXACT(F30,'MY PROFILE'!E6),EXACT(E30,'MY PROFILE'!C25)),35,IF(AND(EXACT(F30,'MY PROFILE'!E6),EXACT(E30,'MY PROFILE'!C6)),25,10))))</f>
        <v/>
      </c>
      <c r="N30">
        <f>IF(G30="","",IF(EXACT(G30,'MY PROFILE'!C7),30,IF(EXACT('MY PROFILE'!G27,"Yes"),10,0)))</f>
        <v/>
      </c>
      <c r="O30">
        <f>IF(T30=999,0,IF('MY PROFILE'!G10="No Limit",15,IF('MY PROFILE'!G10="30 Minutes",IF(T30&lt;=30,15,IF(T30&lt;=60,8,IF(T30&lt;=90,3,0))),IF('MY PROFILE'!G10="1 Hour",IF(T30&lt;=60,15,IF(T30&lt;=90,8,IF(T30&lt;=120,3,0))),IF('MY PROFILE'!G10="1.5 Hours",IF(T30&lt;=90,15,IF(T30&lt;=120,8,IF(T30&lt;=150,3,0))),IF('MY PROFILE'!G10="2 Hours",IF(T30&lt;=120,15,IF(T30&lt;=150,8,IF(T30&lt;=180,3,0))),IF('MY PROFILE'!G10="3 Hours",IF(T30&lt;=180,15,IF(T30&lt;=240,5,0)),15)))))))</f>
        <v/>
      </c>
      <c r="P30">
        <f>IF(EXACT('MY PROFILE'!C26,"Pursue Command"),IF(EXACT(I30,"Yes"),15,5),IF(EXACT('MY PROFILE'!C26,"Promote to Next Grade"),IF(EXACT(H30,"Leadership"),12,IF(EXACT(H30,"Staff"),10,8)),IF(EXACT('MY PROFILE'!C26,"Move to Staff"),IF(EXACT(H30,"Staff"),15,IF(EXACT(H30,"Technical"),10,5)),IF(EXACT('MY PROFILE'!C26,"Pursue AGR Full-Time"),IF(EXACT(J30,"AGR"),15,IF(EXACT(J30,"M-Day"),5,10)),8))))</f>
        <v/>
      </c>
      <c r="Q30">
        <f>IF(EXACT('MY PROFILE'!G6,"M-Day"),IF(EXACT(J30,"M-Day"),5,IF(EXACT(J30,"AGR"),1,3)),IF(EXACT('MY PROFILE'!G6,"AGR"),IF(EXACT(J30,"AGR"),5,IF(EXACT(J30,"M-Day"),2,3)),3))</f>
        <v/>
      </c>
      <c r="R30">
        <f>IFERROR(M30+N30+O30+P30+Q30,0)</f>
        <v/>
      </c>
      <c r="S30">
        <f>IF(R30&gt;=80,"STRONG MATCH",IF(R30&gt;=60,"GOOD MATCH",IF(R30&gt;=40,"MODERATE / STRETCH",IF(R30&gt;=20,"POSSIBLE — GAPS EXIST","NOT RECOMMENDED NOW"))))</f>
        <v/>
      </c>
      <c r="T30">
        <f>IFERROR(SUMPRODUCT(($A$231:$A$313='MY PROFILE'!C10)*($B$231:$B$313=C30)*($C$231:$C$313)),999)</f>
        <v/>
      </c>
    </row>
    <row r="31">
      <c r="A31">
        <f>'ADMIN - POSITIONS'!A31</f>
        <v/>
      </c>
      <c r="B31">
        <f>'ADMIN - POSITIONS'!B31</f>
        <v/>
      </c>
      <c r="C31">
        <f>'ADMIN - POSITIONS'!D31</f>
        <v/>
      </c>
      <c r="D31">
        <f>'ADMIN - POSITIONS'!E31</f>
        <v/>
      </c>
      <c r="E31">
        <f>'ADMIN - POSITIONS'!F31</f>
        <v/>
      </c>
      <c r="F31">
        <f>'ADMIN - POSITIONS'!G31</f>
        <v/>
      </c>
      <c r="G31">
        <f>'ADMIN - POSITIONS'!H31</f>
        <v/>
      </c>
      <c r="H31">
        <f>'ADMIN - POSITIONS'!J31</f>
        <v/>
      </c>
      <c r="I31">
        <f>'ADMIN - POSITIONS'!K31</f>
        <v/>
      </c>
      <c r="J31">
        <f>'ADMIN - POSITIONS'!L31</f>
        <v/>
      </c>
      <c r="K31">
        <f>'ADMIN - POSITIONS'!M31</f>
        <v/>
      </c>
      <c r="L31">
        <f>'ADMIN - POSITIONS'!N31</f>
        <v/>
      </c>
      <c r="M31">
        <f>IF(E31=""," ",IF(EXACT(E31,'MY PROFILE'!E6)=FALSE,0,IF(AND(EXACT(F31,'MY PROFILE'!E6),EXACT(E31,'MY PROFILE'!C25)),35,IF(AND(EXACT(F31,'MY PROFILE'!E6),EXACT(E31,'MY PROFILE'!C6)),25,10))))</f>
        <v/>
      </c>
      <c r="N31">
        <f>IF(G31="","",IF(EXACT(G31,'MY PROFILE'!C7),30,IF(EXACT('MY PROFILE'!G27,"Yes"),10,0)))</f>
        <v/>
      </c>
      <c r="O31">
        <f>IF(T31=999,0,IF('MY PROFILE'!G10="No Limit",15,IF('MY PROFILE'!G10="30 Minutes",IF(T31&lt;=30,15,IF(T31&lt;=60,8,IF(T31&lt;=90,3,0))),IF('MY PROFILE'!G10="1 Hour",IF(T31&lt;=60,15,IF(T31&lt;=90,8,IF(T31&lt;=120,3,0))),IF('MY PROFILE'!G10="1.5 Hours",IF(T31&lt;=90,15,IF(T31&lt;=120,8,IF(T31&lt;=150,3,0))),IF('MY PROFILE'!G10="2 Hours",IF(T31&lt;=120,15,IF(T31&lt;=150,8,IF(T31&lt;=180,3,0))),IF('MY PROFILE'!G10="3 Hours",IF(T31&lt;=180,15,IF(T31&lt;=240,5,0)),15)))))))</f>
        <v/>
      </c>
      <c r="P31">
        <f>IF(EXACT('MY PROFILE'!C26,"Pursue Command"),IF(EXACT(I31,"Yes"),15,5),IF(EXACT('MY PROFILE'!C26,"Promote to Next Grade"),IF(EXACT(H31,"Leadership"),12,IF(EXACT(H31,"Staff"),10,8)),IF(EXACT('MY PROFILE'!C26,"Move to Staff"),IF(EXACT(H31,"Staff"),15,IF(EXACT(H31,"Technical"),10,5)),IF(EXACT('MY PROFILE'!C26,"Pursue AGR Full-Time"),IF(EXACT(J31,"AGR"),15,IF(EXACT(J31,"M-Day"),5,10)),8))))</f>
        <v/>
      </c>
      <c r="Q31">
        <f>IF(EXACT('MY PROFILE'!G6,"M-Day"),IF(EXACT(J31,"M-Day"),5,IF(EXACT(J31,"AGR"),1,3)),IF(EXACT('MY PROFILE'!G6,"AGR"),IF(EXACT(J31,"AGR"),5,IF(EXACT(J31,"M-Day"),2,3)),3))</f>
        <v/>
      </c>
      <c r="R31">
        <f>IFERROR(M31+N31+O31+P31+Q31,0)</f>
        <v/>
      </c>
      <c r="S31">
        <f>IF(R31&gt;=80,"STRONG MATCH",IF(R31&gt;=60,"GOOD MATCH",IF(R31&gt;=40,"MODERATE / STRETCH",IF(R31&gt;=20,"POSSIBLE — GAPS EXIST","NOT RECOMMENDED NOW"))))</f>
        <v/>
      </c>
      <c r="T31">
        <f>IFERROR(SUMPRODUCT(($A$231:$A$313='MY PROFILE'!C10)*($B$231:$B$313=C31)*($C$231:$C$313)),999)</f>
        <v/>
      </c>
    </row>
    <row r="32">
      <c r="A32">
        <f>'ADMIN - POSITIONS'!A32</f>
        <v/>
      </c>
      <c r="B32">
        <f>'ADMIN - POSITIONS'!B32</f>
        <v/>
      </c>
      <c r="C32">
        <f>'ADMIN - POSITIONS'!D32</f>
        <v/>
      </c>
      <c r="D32">
        <f>'ADMIN - POSITIONS'!E32</f>
        <v/>
      </c>
      <c r="E32">
        <f>'ADMIN - POSITIONS'!F32</f>
        <v/>
      </c>
      <c r="F32">
        <f>'ADMIN - POSITIONS'!G32</f>
        <v/>
      </c>
      <c r="G32">
        <f>'ADMIN - POSITIONS'!H32</f>
        <v/>
      </c>
      <c r="H32">
        <f>'ADMIN - POSITIONS'!J32</f>
        <v/>
      </c>
      <c r="I32">
        <f>'ADMIN - POSITIONS'!K32</f>
        <v/>
      </c>
      <c r="J32">
        <f>'ADMIN - POSITIONS'!L32</f>
        <v/>
      </c>
      <c r="K32">
        <f>'ADMIN - POSITIONS'!M32</f>
        <v/>
      </c>
      <c r="L32">
        <f>'ADMIN - POSITIONS'!N32</f>
        <v/>
      </c>
      <c r="M32">
        <f>IF(E32=""," ",IF(EXACT(E32,'MY PROFILE'!E6)=FALSE,0,IF(AND(EXACT(F32,'MY PROFILE'!E6),EXACT(E32,'MY PROFILE'!C25)),35,IF(AND(EXACT(F32,'MY PROFILE'!E6),EXACT(E32,'MY PROFILE'!C6)),25,10))))</f>
        <v/>
      </c>
      <c r="N32">
        <f>IF(G32="","",IF(EXACT(G32,'MY PROFILE'!C7),30,IF(EXACT('MY PROFILE'!G27,"Yes"),10,0)))</f>
        <v/>
      </c>
      <c r="O32">
        <f>IF(T32=999,0,IF('MY PROFILE'!G10="No Limit",15,IF('MY PROFILE'!G10="30 Minutes",IF(T32&lt;=30,15,IF(T32&lt;=60,8,IF(T32&lt;=90,3,0))),IF('MY PROFILE'!G10="1 Hour",IF(T32&lt;=60,15,IF(T32&lt;=90,8,IF(T32&lt;=120,3,0))),IF('MY PROFILE'!G10="1.5 Hours",IF(T32&lt;=90,15,IF(T32&lt;=120,8,IF(T32&lt;=150,3,0))),IF('MY PROFILE'!G10="2 Hours",IF(T32&lt;=120,15,IF(T32&lt;=150,8,IF(T32&lt;=180,3,0))),IF('MY PROFILE'!G10="3 Hours",IF(T32&lt;=180,15,IF(T32&lt;=240,5,0)),15)))))))</f>
        <v/>
      </c>
      <c r="P32">
        <f>IF(EXACT('MY PROFILE'!C26,"Pursue Command"),IF(EXACT(I32,"Yes"),15,5),IF(EXACT('MY PROFILE'!C26,"Promote to Next Grade"),IF(EXACT(H32,"Leadership"),12,IF(EXACT(H32,"Staff"),10,8)),IF(EXACT('MY PROFILE'!C26,"Move to Staff"),IF(EXACT(H32,"Staff"),15,IF(EXACT(H32,"Technical"),10,5)),IF(EXACT('MY PROFILE'!C26,"Pursue AGR Full-Time"),IF(EXACT(J32,"AGR"),15,IF(EXACT(J32,"M-Day"),5,10)),8))))</f>
        <v/>
      </c>
      <c r="Q32">
        <f>IF(EXACT('MY PROFILE'!G6,"M-Day"),IF(EXACT(J32,"M-Day"),5,IF(EXACT(J32,"AGR"),1,3)),IF(EXACT('MY PROFILE'!G6,"AGR"),IF(EXACT(J32,"AGR"),5,IF(EXACT(J32,"M-Day"),2,3)),3))</f>
        <v/>
      </c>
      <c r="R32">
        <f>IFERROR(M32+N32+O32+P32+Q32,0)</f>
        <v/>
      </c>
      <c r="S32">
        <f>IF(R32&gt;=80,"STRONG MATCH",IF(R32&gt;=60,"GOOD MATCH",IF(R32&gt;=40,"MODERATE / STRETCH",IF(R32&gt;=20,"POSSIBLE — GAPS EXIST","NOT RECOMMENDED NOW"))))</f>
        <v/>
      </c>
      <c r="T32">
        <f>IFERROR(SUMPRODUCT(($A$231:$A$313='MY PROFILE'!C10)*($B$231:$B$313=C32)*($C$231:$C$313)),999)</f>
        <v/>
      </c>
    </row>
    <row r="33">
      <c r="A33">
        <f>'ADMIN - POSITIONS'!A33</f>
        <v/>
      </c>
      <c r="B33">
        <f>'ADMIN - POSITIONS'!B33</f>
        <v/>
      </c>
      <c r="C33">
        <f>'ADMIN - POSITIONS'!D33</f>
        <v/>
      </c>
      <c r="D33">
        <f>'ADMIN - POSITIONS'!E33</f>
        <v/>
      </c>
      <c r="E33">
        <f>'ADMIN - POSITIONS'!F33</f>
        <v/>
      </c>
      <c r="F33">
        <f>'ADMIN - POSITIONS'!G33</f>
        <v/>
      </c>
      <c r="G33">
        <f>'ADMIN - POSITIONS'!H33</f>
        <v/>
      </c>
      <c r="H33">
        <f>'ADMIN - POSITIONS'!J33</f>
        <v/>
      </c>
      <c r="I33">
        <f>'ADMIN - POSITIONS'!K33</f>
        <v/>
      </c>
      <c r="J33">
        <f>'ADMIN - POSITIONS'!L33</f>
        <v/>
      </c>
      <c r="K33">
        <f>'ADMIN - POSITIONS'!M33</f>
        <v/>
      </c>
      <c r="L33">
        <f>'ADMIN - POSITIONS'!N33</f>
        <v/>
      </c>
      <c r="M33">
        <f>IF(E33=""," ",IF(EXACT(E33,'MY PROFILE'!E6)=FALSE,0,IF(AND(EXACT(F33,'MY PROFILE'!E6),EXACT(E33,'MY PROFILE'!C25)),35,IF(AND(EXACT(F33,'MY PROFILE'!E6),EXACT(E33,'MY PROFILE'!C6)),25,10))))</f>
        <v/>
      </c>
      <c r="N33">
        <f>IF(G33="","",IF(EXACT(G33,'MY PROFILE'!C7),30,IF(EXACT('MY PROFILE'!G27,"Yes"),10,0)))</f>
        <v/>
      </c>
      <c r="O33">
        <f>IF(T33=999,0,IF('MY PROFILE'!G10="No Limit",15,IF('MY PROFILE'!G10="30 Minutes",IF(T33&lt;=30,15,IF(T33&lt;=60,8,IF(T33&lt;=90,3,0))),IF('MY PROFILE'!G10="1 Hour",IF(T33&lt;=60,15,IF(T33&lt;=90,8,IF(T33&lt;=120,3,0))),IF('MY PROFILE'!G10="1.5 Hours",IF(T33&lt;=90,15,IF(T33&lt;=120,8,IF(T33&lt;=150,3,0))),IF('MY PROFILE'!G10="2 Hours",IF(T33&lt;=120,15,IF(T33&lt;=150,8,IF(T33&lt;=180,3,0))),IF('MY PROFILE'!G10="3 Hours",IF(T33&lt;=180,15,IF(T33&lt;=240,5,0)),15)))))))</f>
        <v/>
      </c>
      <c r="P33">
        <f>IF(EXACT('MY PROFILE'!C26,"Pursue Command"),IF(EXACT(I33,"Yes"),15,5),IF(EXACT('MY PROFILE'!C26,"Promote to Next Grade"),IF(EXACT(H33,"Leadership"),12,IF(EXACT(H33,"Staff"),10,8)),IF(EXACT('MY PROFILE'!C26,"Move to Staff"),IF(EXACT(H33,"Staff"),15,IF(EXACT(H33,"Technical"),10,5)),IF(EXACT('MY PROFILE'!C26,"Pursue AGR Full-Time"),IF(EXACT(J33,"AGR"),15,IF(EXACT(J33,"M-Day"),5,10)),8))))</f>
        <v/>
      </c>
      <c r="Q33">
        <f>IF(EXACT('MY PROFILE'!G6,"M-Day"),IF(EXACT(J33,"M-Day"),5,IF(EXACT(J33,"AGR"),1,3)),IF(EXACT('MY PROFILE'!G6,"AGR"),IF(EXACT(J33,"AGR"),5,IF(EXACT(J33,"M-Day"),2,3)),3))</f>
        <v/>
      </c>
      <c r="R33">
        <f>IFERROR(M33+N33+O33+P33+Q33,0)</f>
        <v/>
      </c>
      <c r="S33">
        <f>IF(R33&gt;=80,"STRONG MATCH",IF(R33&gt;=60,"GOOD MATCH",IF(R33&gt;=40,"MODERATE / STRETCH",IF(R33&gt;=20,"POSSIBLE — GAPS EXIST","NOT RECOMMENDED NOW"))))</f>
        <v/>
      </c>
      <c r="T33">
        <f>IFERROR(SUMPRODUCT(($A$231:$A$313='MY PROFILE'!C10)*($B$231:$B$313=C33)*($C$231:$C$313)),999)</f>
        <v/>
      </c>
    </row>
    <row r="34">
      <c r="A34">
        <f>'ADMIN - POSITIONS'!A34</f>
        <v/>
      </c>
      <c r="B34">
        <f>'ADMIN - POSITIONS'!B34</f>
        <v/>
      </c>
      <c r="C34">
        <f>'ADMIN - POSITIONS'!D34</f>
        <v/>
      </c>
      <c r="D34">
        <f>'ADMIN - POSITIONS'!E34</f>
        <v/>
      </c>
      <c r="E34">
        <f>'ADMIN - POSITIONS'!F34</f>
        <v/>
      </c>
      <c r="F34">
        <f>'ADMIN - POSITIONS'!G34</f>
        <v/>
      </c>
      <c r="G34">
        <f>'ADMIN - POSITIONS'!H34</f>
        <v/>
      </c>
      <c r="H34">
        <f>'ADMIN - POSITIONS'!J34</f>
        <v/>
      </c>
      <c r="I34">
        <f>'ADMIN - POSITIONS'!K34</f>
        <v/>
      </c>
      <c r="J34">
        <f>'ADMIN - POSITIONS'!L34</f>
        <v/>
      </c>
      <c r="K34">
        <f>'ADMIN - POSITIONS'!M34</f>
        <v/>
      </c>
      <c r="L34">
        <f>'ADMIN - POSITIONS'!N34</f>
        <v/>
      </c>
      <c r="M34">
        <f>IF(E34=""," ",IF(EXACT(E34,'MY PROFILE'!E6)=FALSE,0,IF(AND(EXACT(F34,'MY PROFILE'!E6),EXACT(E34,'MY PROFILE'!C25)),35,IF(AND(EXACT(F34,'MY PROFILE'!E6),EXACT(E34,'MY PROFILE'!C6)),25,10))))</f>
        <v/>
      </c>
      <c r="N34">
        <f>IF(G34="","",IF(EXACT(G34,'MY PROFILE'!C7),30,IF(EXACT('MY PROFILE'!G27,"Yes"),10,0)))</f>
        <v/>
      </c>
      <c r="O34">
        <f>IF(T34=999,0,IF('MY PROFILE'!G10="No Limit",15,IF('MY PROFILE'!G10="30 Minutes",IF(T34&lt;=30,15,IF(T34&lt;=60,8,IF(T34&lt;=90,3,0))),IF('MY PROFILE'!G10="1 Hour",IF(T34&lt;=60,15,IF(T34&lt;=90,8,IF(T34&lt;=120,3,0))),IF('MY PROFILE'!G10="1.5 Hours",IF(T34&lt;=90,15,IF(T34&lt;=120,8,IF(T34&lt;=150,3,0))),IF('MY PROFILE'!G10="2 Hours",IF(T34&lt;=120,15,IF(T34&lt;=150,8,IF(T34&lt;=180,3,0))),IF('MY PROFILE'!G10="3 Hours",IF(T34&lt;=180,15,IF(T34&lt;=240,5,0)),15)))))))</f>
        <v/>
      </c>
      <c r="P34">
        <f>IF(EXACT('MY PROFILE'!C26,"Pursue Command"),IF(EXACT(I34,"Yes"),15,5),IF(EXACT('MY PROFILE'!C26,"Promote to Next Grade"),IF(EXACT(H34,"Leadership"),12,IF(EXACT(H34,"Staff"),10,8)),IF(EXACT('MY PROFILE'!C26,"Move to Staff"),IF(EXACT(H34,"Staff"),15,IF(EXACT(H34,"Technical"),10,5)),IF(EXACT('MY PROFILE'!C26,"Pursue AGR Full-Time"),IF(EXACT(J34,"AGR"),15,IF(EXACT(J34,"M-Day"),5,10)),8))))</f>
        <v/>
      </c>
      <c r="Q34">
        <f>IF(EXACT('MY PROFILE'!G6,"M-Day"),IF(EXACT(J34,"M-Day"),5,IF(EXACT(J34,"AGR"),1,3)),IF(EXACT('MY PROFILE'!G6,"AGR"),IF(EXACT(J34,"AGR"),5,IF(EXACT(J34,"M-Day"),2,3)),3))</f>
        <v/>
      </c>
      <c r="R34">
        <f>IFERROR(M34+N34+O34+P34+Q34,0)</f>
        <v/>
      </c>
      <c r="S34">
        <f>IF(R34&gt;=80,"STRONG MATCH",IF(R34&gt;=60,"GOOD MATCH",IF(R34&gt;=40,"MODERATE / STRETCH",IF(R34&gt;=20,"POSSIBLE — GAPS EXIST","NOT RECOMMENDED NOW"))))</f>
        <v/>
      </c>
      <c r="T34">
        <f>IFERROR(SUMPRODUCT(($A$231:$A$313='MY PROFILE'!C10)*($B$231:$B$313=C34)*($C$231:$C$313)),999)</f>
        <v/>
      </c>
    </row>
    <row r="35">
      <c r="A35">
        <f>'ADMIN - POSITIONS'!A35</f>
        <v/>
      </c>
      <c r="B35">
        <f>'ADMIN - POSITIONS'!B35</f>
        <v/>
      </c>
      <c r="C35">
        <f>'ADMIN - POSITIONS'!D35</f>
        <v/>
      </c>
      <c r="D35">
        <f>'ADMIN - POSITIONS'!E35</f>
        <v/>
      </c>
      <c r="E35">
        <f>'ADMIN - POSITIONS'!F35</f>
        <v/>
      </c>
      <c r="F35">
        <f>'ADMIN - POSITIONS'!G35</f>
        <v/>
      </c>
      <c r="G35">
        <f>'ADMIN - POSITIONS'!H35</f>
        <v/>
      </c>
      <c r="H35">
        <f>'ADMIN - POSITIONS'!J35</f>
        <v/>
      </c>
      <c r="I35">
        <f>'ADMIN - POSITIONS'!K35</f>
        <v/>
      </c>
      <c r="J35">
        <f>'ADMIN - POSITIONS'!L35</f>
        <v/>
      </c>
      <c r="K35">
        <f>'ADMIN - POSITIONS'!M35</f>
        <v/>
      </c>
      <c r="L35">
        <f>'ADMIN - POSITIONS'!N35</f>
        <v/>
      </c>
      <c r="M35">
        <f>IF(E35=""," ",IF(EXACT(E35,'MY PROFILE'!E6)=FALSE,0,IF(AND(EXACT(F35,'MY PROFILE'!E6),EXACT(E35,'MY PROFILE'!C25)),35,IF(AND(EXACT(F35,'MY PROFILE'!E6),EXACT(E35,'MY PROFILE'!C6)),25,10))))</f>
        <v/>
      </c>
      <c r="N35">
        <f>IF(G35="","",IF(EXACT(G35,'MY PROFILE'!C7),30,IF(EXACT('MY PROFILE'!G27,"Yes"),10,0)))</f>
        <v/>
      </c>
      <c r="O35">
        <f>IF(T35=999,0,IF('MY PROFILE'!G10="No Limit",15,IF('MY PROFILE'!G10="30 Minutes",IF(T35&lt;=30,15,IF(T35&lt;=60,8,IF(T35&lt;=90,3,0))),IF('MY PROFILE'!G10="1 Hour",IF(T35&lt;=60,15,IF(T35&lt;=90,8,IF(T35&lt;=120,3,0))),IF('MY PROFILE'!G10="1.5 Hours",IF(T35&lt;=90,15,IF(T35&lt;=120,8,IF(T35&lt;=150,3,0))),IF('MY PROFILE'!G10="2 Hours",IF(T35&lt;=120,15,IF(T35&lt;=150,8,IF(T35&lt;=180,3,0))),IF('MY PROFILE'!G10="3 Hours",IF(T35&lt;=180,15,IF(T35&lt;=240,5,0)),15)))))))</f>
        <v/>
      </c>
      <c r="P35">
        <f>IF(EXACT('MY PROFILE'!C26,"Pursue Command"),IF(EXACT(I35,"Yes"),15,5),IF(EXACT('MY PROFILE'!C26,"Promote to Next Grade"),IF(EXACT(H35,"Leadership"),12,IF(EXACT(H35,"Staff"),10,8)),IF(EXACT('MY PROFILE'!C26,"Move to Staff"),IF(EXACT(H35,"Staff"),15,IF(EXACT(H35,"Technical"),10,5)),IF(EXACT('MY PROFILE'!C26,"Pursue AGR Full-Time"),IF(EXACT(J35,"AGR"),15,IF(EXACT(J35,"M-Day"),5,10)),8))))</f>
        <v/>
      </c>
      <c r="Q35">
        <f>IF(EXACT('MY PROFILE'!G6,"M-Day"),IF(EXACT(J35,"M-Day"),5,IF(EXACT(J35,"AGR"),1,3)),IF(EXACT('MY PROFILE'!G6,"AGR"),IF(EXACT(J35,"AGR"),5,IF(EXACT(J35,"M-Day"),2,3)),3))</f>
        <v/>
      </c>
      <c r="R35">
        <f>IFERROR(M35+N35+O35+P35+Q35,0)</f>
        <v/>
      </c>
      <c r="S35">
        <f>IF(R35&gt;=80,"STRONG MATCH",IF(R35&gt;=60,"GOOD MATCH",IF(R35&gt;=40,"MODERATE / STRETCH",IF(R35&gt;=20,"POSSIBLE — GAPS EXIST","NOT RECOMMENDED NOW"))))</f>
        <v/>
      </c>
      <c r="T35">
        <f>IFERROR(SUMPRODUCT(($A$231:$A$313='MY PROFILE'!C10)*($B$231:$B$313=C35)*($C$231:$C$313)),999)</f>
        <v/>
      </c>
    </row>
    <row r="36">
      <c r="A36">
        <f>'ADMIN - POSITIONS'!A36</f>
        <v/>
      </c>
      <c r="B36">
        <f>'ADMIN - POSITIONS'!B36</f>
        <v/>
      </c>
      <c r="C36">
        <f>'ADMIN - POSITIONS'!D36</f>
        <v/>
      </c>
      <c r="D36">
        <f>'ADMIN - POSITIONS'!E36</f>
        <v/>
      </c>
      <c r="E36">
        <f>'ADMIN - POSITIONS'!F36</f>
        <v/>
      </c>
      <c r="F36">
        <f>'ADMIN - POSITIONS'!G36</f>
        <v/>
      </c>
      <c r="G36">
        <f>'ADMIN - POSITIONS'!H36</f>
        <v/>
      </c>
      <c r="H36">
        <f>'ADMIN - POSITIONS'!J36</f>
        <v/>
      </c>
      <c r="I36">
        <f>'ADMIN - POSITIONS'!K36</f>
        <v/>
      </c>
      <c r="J36">
        <f>'ADMIN - POSITIONS'!L36</f>
        <v/>
      </c>
      <c r="K36">
        <f>'ADMIN - POSITIONS'!M36</f>
        <v/>
      </c>
      <c r="L36">
        <f>'ADMIN - POSITIONS'!N36</f>
        <v/>
      </c>
      <c r="M36">
        <f>IF(E36=""," ",IF(EXACT(E36,'MY PROFILE'!E6)=FALSE,0,IF(AND(EXACT(F36,'MY PROFILE'!E6),EXACT(E36,'MY PROFILE'!C25)),35,IF(AND(EXACT(F36,'MY PROFILE'!E6),EXACT(E36,'MY PROFILE'!C6)),25,10))))</f>
        <v/>
      </c>
      <c r="N36">
        <f>IF(G36="","",IF(EXACT(G36,'MY PROFILE'!C7),30,IF(EXACT('MY PROFILE'!G27,"Yes"),10,0)))</f>
        <v/>
      </c>
      <c r="O36">
        <f>IF(T36=999,0,IF('MY PROFILE'!G10="No Limit",15,IF('MY PROFILE'!G10="30 Minutes",IF(T36&lt;=30,15,IF(T36&lt;=60,8,IF(T36&lt;=90,3,0))),IF('MY PROFILE'!G10="1 Hour",IF(T36&lt;=60,15,IF(T36&lt;=90,8,IF(T36&lt;=120,3,0))),IF('MY PROFILE'!G10="1.5 Hours",IF(T36&lt;=90,15,IF(T36&lt;=120,8,IF(T36&lt;=150,3,0))),IF('MY PROFILE'!G10="2 Hours",IF(T36&lt;=120,15,IF(T36&lt;=150,8,IF(T36&lt;=180,3,0))),IF('MY PROFILE'!G10="3 Hours",IF(T36&lt;=180,15,IF(T36&lt;=240,5,0)),15)))))))</f>
        <v/>
      </c>
      <c r="P36">
        <f>IF(EXACT('MY PROFILE'!C26,"Pursue Command"),IF(EXACT(I36,"Yes"),15,5),IF(EXACT('MY PROFILE'!C26,"Promote to Next Grade"),IF(EXACT(H36,"Leadership"),12,IF(EXACT(H36,"Staff"),10,8)),IF(EXACT('MY PROFILE'!C26,"Move to Staff"),IF(EXACT(H36,"Staff"),15,IF(EXACT(H36,"Technical"),10,5)),IF(EXACT('MY PROFILE'!C26,"Pursue AGR Full-Time"),IF(EXACT(J36,"AGR"),15,IF(EXACT(J36,"M-Day"),5,10)),8))))</f>
        <v/>
      </c>
      <c r="Q36">
        <f>IF(EXACT('MY PROFILE'!G6,"M-Day"),IF(EXACT(J36,"M-Day"),5,IF(EXACT(J36,"AGR"),1,3)),IF(EXACT('MY PROFILE'!G6,"AGR"),IF(EXACT(J36,"AGR"),5,IF(EXACT(J36,"M-Day"),2,3)),3))</f>
        <v/>
      </c>
      <c r="R36">
        <f>IFERROR(M36+N36+O36+P36+Q36,0)</f>
        <v/>
      </c>
      <c r="S36">
        <f>IF(R36&gt;=80,"STRONG MATCH",IF(R36&gt;=60,"GOOD MATCH",IF(R36&gt;=40,"MODERATE / STRETCH",IF(R36&gt;=20,"POSSIBLE — GAPS EXIST","NOT RECOMMENDED NOW"))))</f>
        <v/>
      </c>
      <c r="T36">
        <f>IFERROR(SUMPRODUCT(($A$231:$A$313='MY PROFILE'!C10)*($B$231:$B$313=C36)*($C$231:$C$313)),999)</f>
        <v/>
      </c>
    </row>
    <row r="37">
      <c r="A37">
        <f>'ADMIN - POSITIONS'!A37</f>
        <v/>
      </c>
      <c r="B37">
        <f>'ADMIN - POSITIONS'!B37</f>
        <v/>
      </c>
      <c r="C37">
        <f>'ADMIN - POSITIONS'!D37</f>
        <v/>
      </c>
      <c r="D37">
        <f>'ADMIN - POSITIONS'!E37</f>
        <v/>
      </c>
      <c r="E37">
        <f>'ADMIN - POSITIONS'!F37</f>
        <v/>
      </c>
      <c r="F37">
        <f>'ADMIN - POSITIONS'!G37</f>
        <v/>
      </c>
      <c r="G37">
        <f>'ADMIN - POSITIONS'!H37</f>
        <v/>
      </c>
      <c r="H37">
        <f>'ADMIN - POSITIONS'!J37</f>
        <v/>
      </c>
      <c r="I37">
        <f>'ADMIN - POSITIONS'!K37</f>
        <v/>
      </c>
      <c r="J37">
        <f>'ADMIN - POSITIONS'!L37</f>
        <v/>
      </c>
      <c r="K37">
        <f>'ADMIN - POSITIONS'!M37</f>
        <v/>
      </c>
      <c r="L37">
        <f>'ADMIN - POSITIONS'!N37</f>
        <v/>
      </c>
      <c r="M37">
        <f>IF(E37=""," ",IF(EXACT(E37,'MY PROFILE'!E6)=FALSE,0,IF(AND(EXACT(F37,'MY PROFILE'!E6),EXACT(E37,'MY PROFILE'!C25)),35,IF(AND(EXACT(F37,'MY PROFILE'!E6),EXACT(E37,'MY PROFILE'!C6)),25,10))))</f>
        <v/>
      </c>
      <c r="N37">
        <f>IF(G37="","",IF(EXACT(G37,'MY PROFILE'!C7),30,IF(EXACT('MY PROFILE'!G27,"Yes"),10,0)))</f>
        <v/>
      </c>
      <c r="O37">
        <f>IF(T37=999,0,IF('MY PROFILE'!G10="No Limit",15,IF('MY PROFILE'!G10="30 Minutes",IF(T37&lt;=30,15,IF(T37&lt;=60,8,IF(T37&lt;=90,3,0))),IF('MY PROFILE'!G10="1 Hour",IF(T37&lt;=60,15,IF(T37&lt;=90,8,IF(T37&lt;=120,3,0))),IF('MY PROFILE'!G10="1.5 Hours",IF(T37&lt;=90,15,IF(T37&lt;=120,8,IF(T37&lt;=150,3,0))),IF('MY PROFILE'!G10="2 Hours",IF(T37&lt;=120,15,IF(T37&lt;=150,8,IF(T37&lt;=180,3,0))),IF('MY PROFILE'!G10="3 Hours",IF(T37&lt;=180,15,IF(T37&lt;=240,5,0)),15)))))))</f>
        <v/>
      </c>
      <c r="P37">
        <f>IF(EXACT('MY PROFILE'!C26,"Pursue Command"),IF(EXACT(I37,"Yes"),15,5),IF(EXACT('MY PROFILE'!C26,"Promote to Next Grade"),IF(EXACT(H37,"Leadership"),12,IF(EXACT(H37,"Staff"),10,8)),IF(EXACT('MY PROFILE'!C26,"Move to Staff"),IF(EXACT(H37,"Staff"),15,IF(EXACT(H37,"Technical"),10,5)),IF(EXACT('MY PROFILE'!C26,"Pursue AGR Full-Time"),IF(EXACT(J37,"AGR"),15,IF(EXACT(J37,"M-Day"),5,10)),8))))</f>
        <v/>
      </c>
      <c r="Q37">
        <f>IF(EXACT('MY PROFILE'!G6,"M-Day"),IF(EXACT(J37,"M-Day"),5,IF(EXACT(J37,"AGR"),1,3)),IF(EXACT('MY PROFILE'!G6,"AGR"),IF(EXACT(J37,"AGR"),5,IF(EXACT(J37,"M-Day"),2,3)),3))</f>
        <v/>
      </c>
      <c r="R37">
        <f>IFERROR(M37+N37+O37+P37+Q37,0)</f>
        <v/>
      </c>
      <c r="S37">
        <f>IF(R37&gt;=80,"STRONG MATCH",IF(R37&gt;=60,"GOOD MATCH",IF(R37&gt;=40,"MODERATE / STRETCH",IF(R37&gt;=20,"POSSIBLE — GAPS EXIST","NOT RECOMMENDED NOW"))))</f>
        <v/>
      </c>
      <c r="T37">
        <f>IFERROR(SUMPRODUCT(($A$231:$A$313='MY PROFILE'!C10)*($B$231:$B$313=C37)*($C$231:$C$313)),999)</f>
        <v/>
      </c>
    </row>
    <row r="38">
      <c r="A38">
        <f>'ADMIN - POSITIONS'!A38</f>
        <v/>
      </c>
      <c r="B38">
        <f>'ADMIN - POSITIONS'!B38</f>
        <v/>
      </c>
      <c r="C38">
        <f>'ADMIN - POSITIONS'!D38</f>
        <v/>
      </c>
      <c r="D38">
        <f>'ADMIN - POSITIONS'!E38</f>
        <v/>
      </c>
      <c r="E38">
        <f>'ADMIN - POSITIONS'!F38</f>
        <v/>
      </c>
      <c r="F38">
        <f>'ADMIN - POSITIONS'!G38</f>
        <v/>
      </c>
      <c r="G38">
        <f>'ADMIN - POSITIONS'!H38</f>
        <v/>
      </c>
      <c r="H38">
        <f>'ADMIN - POSITIONS'!J38</f>
        <v/>
      </c>
      <c r="I38">
        <f>'ADMIN - POSITIONS'!K38</f>
        <v/>
      </c>
      <c r="J38">
        <f>'ADMIN - POSITIONS'!L38</f>
        <v/>
      </c>
      <c r="K38">
        <f>'ADMIN - POSITIONS'!M38</f>
        <v/>
      </c>
      <c r="L38">
        <f>'ADMIN - POSITIONS'!N38</f>
        <v/>
      </c>
      <c r="M38">
        <f>IF(E38=""," ",IF(EXACT(E38,'MY PROFILE'!E6)=FALSE,0,IF(AND(EXACT(F38,'MY PROFILE'!E6),EXACT(E38,'MY PROFILE'!C25)),35,IF(AND(EXACT(F38,'MY PROFILE'!E6),EXACT(E38,'MY PROFILE'!C6)),25,10))))</f>
        <v/>
      </c>
      <c r="N38">
        <f>IF(G38="","",IF(EXACT(G38,'MY PROFILE'!C7),30,IF(EXACT('MY PROFILE'!G27,"Yes"),10,0)))</f>
        <v/>
      </c>
      <c r="O38">
        <f>IF(T38=999,0,IF('MY PROFILE'!G10="No Limit",15,IF('MY PROFILE'!G10="30 Minutes",IF(T38&lt;=30,15,IF(T38&lt;=60,8,IF(T38&lt;=90,3,0))),IF('MY PROFILE'!G10="1 Hour",IF(T38&lt;=60,15,IF(T38&lt;=90,8,IF(T38&lt;=120,3,0))),IF('MY PROFILE'!G10="1.5 Hours",IF(T38&lt;=90,15,IF(T38&lt;=120,8,IF(T38&lt;=150,3,0))),IF('MY PROFILE'!G10="2 Hours",IF(T38&lt;=120,15,IF(T38&lt;=150,8,IF(T38&lt;=180,3,0))),IF('MY PROFILE'!G10="3 Hours",IF(T38&lt;=180,15,IF(T38&lt;=240,5,0)),15)))))))</f>
        <v/>
      </c>
      <c r="P38">
        <f>IF(EXACT('MY PROFILE'!C26,"Pursue Command"),IF(EXACT(I38,"Yes"),15,5),IF(EXACT('MY PROFILE'!C26,"Promote to Next Grade"),IF(EXACT(H38,"Leadership"),12,IF(EXACT(H38,"Staff"),10,8)),IF(EXACT('MY PROFILE'!C26,"Move to Staff"),IF(EXACT(H38,"Staff"),15,IF(EXACT(H38,"Technical"),10,5)),IF(EXACT('MY PROFILE'!C26,"Pursue AGR Full-Time"),IF(EXACT(J38,"AGR"),15,IF(EXACT(J38,"M-Day"),5,10)),8))))</f>
        <v/>
      </c>
      <c r="Q38">
        <f>IF(EXACT('MY PROFILE'!G6,"M-Day"),IF(EXACT(J38,"M-Day"),5,IF(EXACT(J38,"AGR"),1,3)),IF(EXACT('MY PROFILE'!G6,"AGR"),IF(EXACT(J38,"AGR"),5,IF(EXACT(J38,"M-Day"),2,3)),3))</f>
        <v/>
      </c>
      <c r="R38">
        <f>IFERROR(M38+N38+O38+P38+Q38,0)</f>
        <v/>
      </c>
      <c r="S38">
        <f>IF(R38&gt;=80,"STRONG MATCH",IF(R38&gt;=60,"GOOD MATCH",IF(R38&gt;=40,"MODERATE / STRETCH",IF(R38&gt;=20,"POSSIBLE — GAPS EXIST","NOT RECOMMENDED NOW"))))</f>
        <v/>
      </c>
      <c r="T38">
        <f>IFERROR(SUMPRODUCT(($A$231:$A$313='MY PROFILE'!C10)*($B$231:$B$313=C38)*($C$231:$C$313)),999)</f>
        <v/>
      </c>
    </row>
    <row r="39">
      <c r="A39">
        <f>'ADMIN - POSITIONS'!A39</f>
        <v/>
      </c>
      <c r="B39">
        <f>'ADMIN - POSITIONS'!B39</f>
        <v/>
      </c>
      <c r="C39">
        <f>'ADMIN - POSITIONS'!D39</f>
        <v/>
      </c>
      <c r="D39">
        <f>'ADMIN - POSITIONS'!E39</f>
        <v/>
      </c>
      <c r="E39">
        <f>'ADMIN - POSITIONS'!F39</f>
        <v/>
      </c>
      <c r="F39">
        <f>'ADMIN - POSITIONS'!G39</f>
        <v/>
      </c>
      <c r="G39">
        <f>'ADMIN - POSITIONS'!H39</f>
        <v/>
      </c>
      <c r="H39">
        <f>'ADMIN - POSITIONS'!J39</f>
        <v/>
      </c>
      <c r="I39">
        <f>'ADMIN - POSITIONS'!K39</f>
        <v/>
      </c>
      <c r="J39">
        <f>'ADMIN - POSITIONS'!L39</f>
        <v/>
      </c>
      <c r="K39">
        <f>'ADMIN - POSITIONS'!M39</f>
        <v/>
      </c>
      <c r="L39">
        <f>'ADMIN - POSITIONS'!N39</f>
        <v/>
      </c>
      <c r="M39">
        <f>IF(E39=""," ",IF(EXACT(E39,'MY PROFILE'!E6)=FALSE,0,IF(AND(EXACT(F39,'MY PROFILE'!E6),EXACT(E39,'MY PROFILE'!C25)),35,IF(AND(EXACT(F39,'MY PROFILE'!E6),EXACT(E39,'MY PROFILE'!C6)),25,10))))</f>
        <v/>
      </c>
      <c r="N39">
        <f>IF(G39="","",IF(EXACT(G39,'MY PROFILE'!C7),30,IF(EXACT('MY PROFILE'!G27,"Yes"),10,0)))</f>
        <v/>
      </c>
      <c r="O39">
        <f>IF(T39=999,0,IF('MY PROFILE'!G10="No Limit",15,IF('MY PROFILE'!G10="30 Minutes",IF(T39&lt;=30,15,IF(T39&lt;=60,8,IF(T39&lt;=90,3,0))),IF('MY PROFILE'!G10="1 Hour",IF(T39&lt;=60,15,IF(T39&lt;=90,8,IF(T39&lt;=120,3,0))),IF('MY PROFILE'!G10="1.5 Hours",IF(T39&lt;=90,15,IF(T39&lt;=120,8,IF(T39&lt;=150,3,0))),IF('MY PROFILE'!G10="2 Hours",IF(T39&lt;=120,15,IF(T39&lt;=150,8,IF(T39&lt;=180,3,0))),IF('MY PROFILE'!G10="3 Hours",IF(T39&lt;=180,15,IF(T39&lt;=240,5,0)),15)))))))</f>
        <v/>
      </c>
      <c r="P39">
        <f>IF(EXACT('MY PROFILE'!C26,"Pursue Command"),IF(EXACT(I39,"Yes"),15,5),IF(EXACT('MY PROFILE'!C26,"Promote to Next Grade"),IF(EXACT(H39,"Leadership"),12,IF(EXACT(H39,"Staff"),10,8)),IF(EXACT('MY PROFILE'!C26,"Move to Staff"),IF(EXACT(H39,"Staff"),15,IF(EXACT(H39,"Technical"),10,5)),IF(EXACT('MY PROFILE'!C26,"Pursue AGR Full-Time"),IF(EXACT(J39,"AGR"),15,IF(EXACT(J39,"M-Day"),5,10)),8))))</f>
        <v/>
      </c>
      <c r="Q39">
        <f>IF(EXACT('MY PROFILE'!G6,"M-Day"),IF(EXACT(J39,"M-Day"),5,IF(EXACT(J39,"AGR"),1,3)),IF(EXACT('MY PROFILE'!G6,"AGR"),IF(EXACT(J39,"AGR"),5,IF(EXACT(J39,"M-Day"),2,3)),3))</f>
        <v/>
      </c>
      <c r="R39">
        <f>IFERROR(M39+N39+O39+P39+Q39,0)</f>
        <v/>
      </c>
      <c r="S39">
        <f>IF(R39&gt;=80,"STRONG MATCH",IF(R39&gt;=60,"GOOD MATCH",IF(R39&gt;=40,"MODERATE / STRETCH",IF(R39&gt;=20,"POSSIBLE — GAPS EXIST","NOT RECOMMENDED NOW"))))</f>
        <v/>
      </c>
      <c r="T39">
        <f>IFERROR(SUMPRODUCT(($A$231:$A$313='MY PROFILE'!C10)*($B$231:$B$313=C39)*($C$231:$C$313)),999)</f>
        <v/>
      </c>
    </row>
    <row r="40">
      <c r="A40">
        <f>'ADMIN - POSITIONS'!A40</f>
        <v/>
      </c>
      <c r="B40">
        <f>'ADMIN - POSITIONS'!B40</f>
        <v/>
      </c>
      <c r="C40">
        <f>'ADMIN - POSITIONS'!D40</f>
        <v/>
      </c>
      <c r="D40">
        <f>'ADMIN - POSITIONS'!E40</f>
        <v/>
      </c>
      <c r="E40">
        <f>'ADMIN - POSITIONS'!F40</f>
        <v/>
      </c>
      <c r="F40">
        <f>'ADMIN - POSITIONS'!G40</f>
        <v/>
      </c>
      <c r="G40">
        <f>'ADMIN - POSITIONS'!H40</f>
        <v/>
      </c>
      <c r="H40">
        <f>'ADMIN - POSITIONS'!J40</f>
        <v/>
      </c>
      <c r="I40">
        <f>'ADMIN - POSITIONS'!K40</f>
        <v/>
      </c>
      <c r="J40">
        <f>'ADMIN - POSITIONS'!L40</f>
        <v/>
      </c>
      <c r="K40">
        <f>'ADMIN - POSITIONS'!M40</f>
        <v/>
      </c>
      <c r="L40">
        <f>'ADMIN - POSITIONS'!N40</f>
        <v/>
      </c>
      <c r="M40">
        <f>IF(E40=""," ",IF(EXACT(E40,'MY PROFILE'!E6)=FALSE,0,IF(AND(EXACT(F40,'MY PROFILE'!E6),EXACT(E40,'MY PROFILE'!C25)),35,IF(AND(EXACT(F40,'MY PROFILE'!E6),EXACT(E40,'MY PROFILE'!C6)),25,10))))</f>
        <v/>
      </c>
      <c r="N40">
        <f>IF(G40="","",IF(EXACT(G40,'MY PROFILE'!C7),30,IF(EXACT('MY PROFILE'!G27,"Yes"),10,0)))</f>
        <v/>
      </c>
      <c r="O40">
        <f>IF(T40=999,0,IF('MY PROFILE'!G10="No Limit",15,IF('MY PROFILE'!G10="30 Minutes",IF(T40&lt;=30,15,IF(T40&lt;=60,8,IF(T40&lt;=90,3,0))),IF('MY PROFILE'!G10="1 Hour",IF(T40&lt;=60,15,IF(T40&lt;=90,8,IF(T40&lt;=120,3,0))),IF('MY PROFILE'!G10="1.5 Hours",IF(T40&lt;=90,15,IF(T40&lt;=120,8,IF(T40&lt;=150,3,0))),IF('MY PROFILE'!G10="2 Hours",IF(T40&lt;=120,15,IF(T40&lt;=150,8,IF(T40&lt;=180,3,0))),IF('MY PROFILE'!G10="3 Hours",IF(T40&lt;=180,15,IF(T40&lt;=240,5,0)),15)))))))</f>
        <v/>
      </c>
      <c r="P40">
        <f>IF(EXACT('MY PROFILE'!C26,"Pursue Command"),IF(EXACT(I40,"Yes"),15,5),IF(EXACT('MY PROFILE'!C26,"Promote to Next Grade"),IF(EXACT(H40,"Leadership"),12,IF(EXACT(H40,"Staff"),10,8)),IF(EXACT('MY PROFILE'!C26,"Move to Staff"),IF(EXACT(H40,"Staff"),15,IF(EXACT(H40,"Technical"),10,5)),IF(EXACT('MY PROFILE'!C26,"Pursue AGR Full-Time"),IF(EXACT(J40,"AGR"),15,IF(EXACT(J40,"M-Day"),5,10)),8))))</f>
        <v/>
      </c>
      <c r="Q40">
        <f>IF(EXACT('MY PROFILE'!G6,"M-Day"),IF(EXACT(J40,"M-Day"),5,IF(EXACT(J40,"AGR"),1,3)),IF(EXACT('MY PROFILE'!G6,"AGR"),IF(EXACT(J40,"AGR"),5,IF(EXACT(J40,"M-Day"),2,3)),3))</f>
        <v/>
      </c>
      <c r="R40">
        <f>IFERROR(M40+N40+O40+P40+Q40,0)</f>
        <v/>
      </c>
      <c r="S40">
        <f>IF(R40&gt;=80,"STRONG MATCH",IF(R40&gt;=60,"GOOD MATCH",IF(R40&gt;=40,"MODERATE / STRETCH",IF(R40&gt;=20,"POSSIBLE — GAPS EXIST","NOT RECOMMENDED NOW"))))</f>
        <v/>
      </c>
      <c r="T40">
        <f>IFERROR(SUMPRODUCT(($A$231:$A$313='MY PROFILE'!C10)*($B$231:$B$313=C40)*($C$231:$C$313)),999)</f>
        <v/>
      </c>
    </row>
    <row r="41">
      <c r="A41">
        <f>'ADMIN - POSITIONS'!A41</f>
        <v/>
      </c>
      <c r="B41">
        <f>'ADMIN - POSITIONS'!B41</f>
        <v/>
      </c>
      <c r="C41">
        <f>'ADMIN - POSITIONS'!D41</f>
        <v/>
      </c>
      <c r="D41">
        <f>'ADMIN - POSITIONS'!E41</f>
        <v/>
      </c>
      <c r="E41">
        <f>'ADMIN - POSITIONS'!F41</f>
        <v/>
      </c>
      <c r="F41">
        <f>'ADMIN - POSITIONS'!G41</f>
        <v/>
      </c>
      <c r="G41">
        <f>'ADMIN - POSITIONS'!H41</f>
        <v/>
      </c>
      <c r="H41">
        <f>'ADMIN - POSITIONS'!J41</f>
        <v/>
      </c>
      <c r="I41">
        <f>'ADMIN - POSITIONS'!K41</f>
        <v/>
      </c>
      <c r="J41">
        <f>'ADMIN - POSITIONS'!L41</f>
        <v/>
      </c>
      <c r="K41">
        <f>'ADMIN - POSITIONS'!M41</f>
        <v/>
      </c>
      <c r="L41">
        <f>'ADMIN - POSITIONS'!N41</f>
        <v/>
      </c>
      <c r="M41">
        <f>IF(E41=""," ",IF(EXACT(E41,'MY PROFILE'!E6)=FALSE,0,IF(AND(EXACT(F41,'MY PROFILE'!E6),EXACT(E41,'MY PROFILE'!C25)),35,IF(AND(EXACT(F41,'MY PROFILE'!E6),EXACT(E41,'MY PROFILE'!C6)),25,10))))</f>
        <v/>
      </c>
      <c r="N41">
        <f>IF(G41="","",IF(EXACT(G41,'MY PROFILE'!C7),30,IF(EXACT('MY PROFILE'!G27,"Yes"),10,0)))</f>
        <v/>
      </c>
      <c r="O41">
        <f>IF(T41=999,0,IF('MY PROFILE'!G10="No Limit",15,IF('MY PROFILE'!G10="30 Minutes",IF(T41&lt;=30,15,IF(T41&lt;=60,8,IF(T41&lt;=90,3,0))),IF('MY PROFILE'!G10="1 Hour",IF(T41&lt;=60,15,IF(T41&lt;=90,8,IF(T41&lt;=120,3,0))),IF('MY PROFILE'!G10="1.5 Hours",IF(T41&lt;=90,15,IF(T41&lt;=120,8,IF(T41&lt;=150,3,0))),IF('MY PROFILE'!G10="2 Hours",IF(T41&lt;=120,15,IF(T41&lt;=150,8,IF(T41&lt;=180,3,0))),IF('MY PROFILE'!G10="3 Hours",IF(T41&lt;=180,15,IF(T41&lt;=240,5,0)),15)))))))</f>
        <v/>
      </c>
      <c r="P41">
        <f>IF(EXACT('MY PROFILE'!C26,"Pursue Command"),IF(EXACT(I41,"Yes"),15,5),IF(EXACT('MY PROFILE'!C26,"Promote to Next Grade"),IF(EXACT(H41,"Leadership"),12,IF(EXACT(H41,"Staff"),10,8)),IF(EXACT('MY PROFILE'!C26,"Move to Staff"),IF(EXACT(H41,"Staff"),15,IF(EXACT(H41,"Technical"),10,5)),IF(EXACT('MY PROFILE'!C26,"Pursue AGR Full-Time"),IF(EXACT(J41,"AGR"),15,IF(EXACT(J41,"M-Day"),5,10)),8))))</f>
        <v/>
      </c>
      <c r="Q41">
        <f>IF(EXACT('MY PROFILE'!G6,"M-Day"),IF(EXACT(J41,"M-Day"),5,IF(EXACT(J41,"AGR"),1,3)),IF(EXACT('MY PROFILE'!G6,"AGR"),IF(EXACT(J41,"AGR"),5,IF(EXACT(J41,"M-Day"),2,3)),3))</f>
        <v/>
      </c>
      <c r="R41">
        <f>IFERROR(M41+N41+O41+P41+Q41,0)</f>
        <v/>
      </c>
      <c r="S41">
        <f>IF(R41&gt;=80,"STRONG MATCH",IF(R41&gt;=60,"GOOD MATCH",IF(R41&gt;=40,"MODERATE / STRETCH",IF(R41&gt;=20,"POSSIBLE — GAPS EXIST","NOT RECOMMENDED NOW"))))</f>
        <v/>
      </c>
      <c r="T41">
        <f>IFERROR(SUMPRODUCT(($A$231:$A$313='MY PROFILE'!C10)*($B$231:$B$313=C41)*($C$231:$C$313)),999)</f>
        <v/>
      </c>
    </row>
    <row r="42">
      <c r="A42">
        <f>'ADMIN - POSITIONS'!A42</f>
        <v/>
      </c>
      <c r="B42">
        <f>'ADMIN - POSITIONS'!B42</f>
        <v/>
      </c>
      <c r="C42">
        <f>'ADMIN - POSITIONS'!D42</f>
        <v/>
      </c>
      <c r="D42">
        <f>'ADMIN - POSITIONS'!E42</f>
        <v/>
      </c>
      <c r="E42">
        <f>'ADMIN - POSITIONS'!F42</f>
        <v/>
      </c>
      <c r="F42">
        <f>'ADMIN - POSITIONS'!G42</f>
        <v/>
      </c>
      <c r="G42">
        <f>'ADMIN - POSITIONS'!H42</f>
        <v/>
      </c>
      <c r="H42">
        <f>'ADMIN - POSITIONS'!J42</f>
        <v/>
      </c>
      <c r="I42">
        <f>'ADMIN - POSITIONS'!K42</f>
        <v/>
      </c>
      <c r="J42">
        <f>'ADMIN - POSITIONS'!L42</f>
        <v/>
      </c>
      <c r="K42">
        <f>'ADMIN - POSITIONS'!M42</f>
        <v/>
      </c>
      <c r="L42">
        <f>'ADMIN - POSITIONS'!N42</f>
        <v/>
      </c>
      <c r="M42">
        <f>IF(E42=""," ",IF(EXACT(E42,'MY PROFILE'!E6)=FALSE,0,IF(AND(EXACT(F42,'MY PROFILE'!E6),EXACT(E42,'MY PROFILE'!C25)),35,IF(AND(EXACT(F42,'MY PROFILE'!E6),EXACT(E42,'MY PROFILE'!C6)),25,10))))</f>
        <v/>
      </c>
      <c r="N42">
        <f>IF(G42="","",IF(EXACT(G42,'MY PROFILE'!C7),30,IF(EXACT('MY PROFILE'!G27,"Yes"),10,0)))</f>
        <v/>
      </c>
      <c r="O42">
        <f>IF(T42=999,0,IF('MY PROFILE'!G10="No Limit",15,IF('MY PROFILE'!G10="30 Minutes",IF(T42&lt;=30,15,IF(T42&lt;=60,8,IF(T42&lt;=90,3,0))),IF('MY PROFILE'!G10="1 Hour",IF(T42&lt;=60,15,IF(T42&lt;=90,8,IF(T42&lt;=120,3,0))),IF('MY PROFILE'!G10="1.5 Hours",IF(T42&lt;=90,15,IF(T42&lt;=120,8,IF(T42&lt;=150,3,0))),IF('MY PROFILE'!G10="2 Hours",IF(T42&lt;=120,15,IF(T42&lt;=150,8,IF(T42&lt;=180,3,0))),IF('MY PROFILE'!G10="3 Hours",IF(T42&lt;=180,15,IF(T42&lt;=240,5,0)),15)))))))</f>
        <v/>
      </c>
      <c r="P42">
        <f>IF(EXACT('MY PROFILE'!C26,"Pursue Command"),IF(EXACT(I42,"Yes"),15,5),IF(EXACT('MY PROFILE'!C26,"Promote to Next Grade"),IF(EXACT(H42,"Leadership"),12,IF(EXACT(H42,"Staff"),10,8)),IF(EXACT('MY PROFILE'!C26,"Move to Staff"),IF(EXACT(H42,"Staff"),15,IF(EXACT(H42,"Technical"),10,5)),IF(EXACT('MY PROFILE'!C26,"Pursue AGR Full-Time"),IF(EXACT(J42,"AGR"),15,IF(EXACT(J42,"M-Day"),5,10)),8))))</f>
        <v/>
      </c>
      <c r="Q42">
        <f>IF(EXACT('MY PROFILE'!G6,"M-Day"),IF(EXACT(J42,"M-Day"),5,IF(EXACT(J42,"AGR"),1,3)),IF(EXACT('MY PROFILE'!G6,"AGR"),IF(EXACT(J42,"AGR"),5,IF(EXACT(J42,"M-Day"),2,3)),3))</f>
        <v/>
      </c>
      <c r="R42">
        <f>IFERROR(M42+N42+O42+P42+Q42,0)</f>
        <v/>
      </c>
      <c r="S42">
        <f>IF(R42&gt;=80,"STRONG MATCH",IF(R42&gt;=60,"GOOD MATCH",IF(R42&gt;=40,"MODERATE / STRETCH",IF(R42&gt;=20,"POSSIBLE — GAPS EXIST","NOT RECOMMENDED NOW"))))</f>
        <v/>
      </c>
      <c r="T42">
        <f>IFERROR(SUMPRODUCT(($A$231:$A$313='MY PROFILE'!C10)*($B$231:$B$313=C42)*($C$231:$C$313)),999)</f>
        <v/>
      </c>
    </row>
    <row r="43">
      <c r="A43">
        <f>'ADMIN - POSITIONS'!A43</f>
        <v/>
      </c>
      <c r="B43">
        <f>'ADMIN - POSITIONS'!B43</f>
        <v/>
      </c>
      <c r="C43">
        <f>'ADMIN - POSITIONS'!D43</f>
        <v/>
      </c>
      <c r="D43">
        <f>'ADMIN - POSITIONS'!E43</f>
        <v/>
      </c>
      <c r="E43">
        <f>'ADMIN - POSITIONS'!F43</f>
        <v/>
      </c>
      <c r="F43">
        <f>'ADMIN - POSITIONS'!G43</f>
        <v/>
      </c>
      <c r="G43">
        <f>'ADMIN - POSITIONS'!H43</f>
        <v/>
      </c>
      <c r="H43">
        <f>'ADMIN - POSITIONS'!J43</f>
        <v/>
      </c>
      <c r="I43">
        <f>'ADMIN - POSITIONS'!K43</f>
        <v/>
      </c>
      <c r="J43">
        <f>'ADMIN - POSITIONS'!L43</f>
        <v/>
      </c>
      <c r="K43">
        <f>'ADMIN - POSITIONS'!M43</f>
        <v/>
      </c>
      <c r="L43">
        <f>'ADMIN - POSITIONS'!N43</f>
        <v/>
      </c>
      <c r="M43">
        <f>IF(E43=""," ",IF(EXACT(E43,'MY PROFILE'!E6)=FALSE,0,IF(AND(EXACT(F43,'MY PROFILE'!E6),EXACT(E43,'MY PROFILE'!C25)),35,IF(AND(EXACT(F43,'MY PROFILE'!E6),EXACT(E43,'MY PROFILE'!C6)),25,10))))</f>
        <v/>
      </c>
      <c r="N43">
        <f>IF(G43="","",IF(EXACT(G43,'MY PROFILE'!C7),30,IF(EXACT('MY PROFILE'!G27,"Yes"),10,0)))</f>
        <v/>
      </c>
      <c r="O43">
        <f>IF(T43=999,0,IF('MY PROFILE'!G10="No Limit",15,IF('MY PROFILE'!G10="30 Minutes",IF(T43&lt;=30,15,IF(T43&lt;=60,8,IF(T43&lt;=90,3,0))),IF('MY PROFILE'!G10="1 Hour",IF(T43&lt;=60,15,IF(T43&lt;=90,8,IF(T43&lt;=120,3,0))),IF('MY PROFILE'!G10="1.5 Hours",IF(T43&lt;=90,15,IF(T43&lt;=120,8,IF(T43&lt;=150,3,0))),IF('MY PROFILE'!G10="2 Hours",IF(T43&lt;=120,15,IF(T43&lt;=150,8,IF(T43&lt;=180,3,0))),IF('MY PROFILE'!G10="3 Hours",IF(T43&lt;=180,15,IF(T43&lt;=240,5,0)),15)))))))</f>
        <v/>
      </c>
      <c r="P43">
        <f>IF(EXACT('MY PROFILE'!C26,"Pursue Command"),IF(EXACT(I43,"Yes"),15,5),IF(EXACT('MY PROFILE'!C26,"Promote to Next Grade"),IF(EXACT(H43,"Leadership"),12,IF(EXACT(H43,"Staff"),10,8)),IF(EXACT('MY PROFILE'!C26,"Move to Staff"),IF(EXACT(H43,"Staff"),15,IF(EXACT(H43,"Technical"),10,5)),IF(EXACT('MY PROFILE'!C26,"Pursue AGR Full-Time"),IF(EXACT(J43,"AGR"),15,IF(EXACT(J43,"M-Day"),5,10)),8))))</f>
        <v/>
      </c>
      <c r="Q43">
        <f>IF(EXACT('MY PROFILE'!G6,"M-Day"),IF(EXACT(J43,"M-Day"),5,IF(EXACT(J43,"AGR"),1,3)),IF(EXACT('MY PROFILE'!G6,"AGR"),IF(EXACT(J43,"AGR"),5,IF(EXACT(J43,"M-Day"),2,3)),3))</f>
        <v/>
      </c>
      <c r="R43">
        <f>IFERROR(M43+N43+O43+P43+Q43,0)</f>
        <v/>
      </c>
      <c r="S43">
        <f>IF(R43&gt;=80,"STRONG MATCH",IF(R43&gt;=60,"GOOD MATCH",IF(R43&gt;=40,"MODERATE / STRETCH",IF(R43&gt;=20,"POSSIBLE — GAPS EXIST","NOT RECOMMENDED NOW"))))</f>
        <v/>
      </c>
      <c r="T43">
        <f>IFERROR(SUMPRODUCT(($A$231:$A$313='MY PROFILE'!C10)*($B$231:$B$313=C43)*($C$231:$C$313)),999)</f>
        <v/>
      </c>
    </row>
    <row r="44">
      <c r="A44">
        <f>'ADMIN - POSITIONS'!A44</f>
        <v/>
      </c>
      <c r="B44">
        <f>'ADMIN - POSITIONS'!B44</f>
        <v/>
      </c>
      <c r="C44">
        <f>'ADMIN - POSITIONS'!D44</f>
        <v/>
      </c>
      <c r="D44">
        <f>'ADMIN - POSITIONS'!E44</f>
        <v/>
      </c>
      <c r="E44">
        <f>'ADMIN - POSITIONS'!F44</f>
        <v/>
      </c>
      <c r="F44">
        <f>'ADMIN - POSITIONS'!G44</f>
        <v/>
      </c>
      <c r="G44">
        <f>'ADMIN - POSITIONS'!H44</f>
        <v/>
      </c>
      <c r="H44">
        <f>'ADMIN - POSITIONS'!J44</f>
        <v/>
      </c>
      <c r="I44">
        <f>'ADMIN - POSITIONS'!K44</f>
        <v/>
      </c>
      <c r="J44">
        <f>'ADMIN - POSITIONS'!L44</f>
        <v/>
      </c>
      <c r="K44">
        <f>'ADMIN - POSITIONS'!M44</f>
        <v/>
      </c>
      <c r="L44">
        <f>'ADMIN - POSITIONS'!N44</f>
        <v/>
      </c>
      <c r="M44">
        <f>IF(E44=""," ",IF(EXACT(E44,'MY PROFILE'!E6)=FALSE,0,IF(AND(EXACT(F44,'MY PROFILE'!E6),EXACT(E44,'MY PROFILE'!C25)),35,IF(AND(EXACT(F44,'MY PROFILE'!E6),EXACT(E44,'MY PROFILE'!C6)),25,10))))</f>
        <v/>
      </c>
      <c r="N44">
        <f>IF(G44="","",IF(EXACT(G44,'MY PROFILE'!C7),30,IF(EXACT('MY PROFILE'!G27,"Yes"),10,0)))</f>
        <v/>
      </c>
      <c r="O44">
        <f>IF(T44=999,0,IF('MY PROFILE'!G10="No Limit",15,IF('MY PROFILE'!G10="30 Minutes",IF(T44&lt;=30,15,IF(T44&lt;=60,8,IF(T44&lt;=90,3,0))),IF('MY PROFILE'!G10="1 Hour",IF(T44&lt;=60,15,IF(T44&lt;=90,8,IF(T44&lt;=120,3,0))),IF('MY PROFILE'!G10="1.5 Hours",IF(T44&lt;=90,15,IF(T44&lt;=120,8,IF(T44&lt;=150,3,0))),IF('MY PROFILE'!G10="2 Hours",IF(T44&lt;=120,15,IF(T44&lt;=150,8,IF(T44&lt;=180,3,0))),IF('MY PROFILE'!G10="3 Hours",IF(T44&lt;=180,15,IF(T44&lt;=240,5,0)),15)))))))</f>
        <v/>
      </c>
      <c r="P44">
        <f>IF(EXACT('MY PROFILE'!C26,"Pursue Command"),IF(EXACT(I44,"Yes"),15,5),IF(EXACT('MY PROFILE'!C26,"Promote to Next Grade"),IF(EXACT(H44,"Leadership"),12,IF(EXACT(H44,"Staff"),10,8)),IF(EXACT('MY PROFILE'!C26,"Move to Staff"),IF(EXACT(H44,"Staff"),15,IF(EXACT(H44,"Technical"),10,5)),IF(EXACT('MY PROFILE'!C26,"Pursue AGR Full-Time"),IF(EXACT(J44,"AGR"),15,IF(EXACT(J44,"M-Day"),5,10)),8))))</f>
        <v/>
      </c>
      <c r="Q44">
        <f>IF(EXACT('MY PROFILE'!G6,"M-Day"),IF(EXACT(J44,"M-Day"),5,IF(EXACT(J44,"AGR"),1,3)),IF(EXACT('MY PROFILE'!G6,"AGR"),IF(EXACT(J44,"AGR"),5,IF(EXACT(J44,"M-Day"),2,3)),3))</f>
        <v/>
      </c>
      <c r="R44">
        <f>IFERROR(M44+N44+O44+P44+Q44,0)</f>
        <v/>
      </c>
      <c r="S44">
        <f>IF(R44&gt;=80,"STRONG MATCH",IF(R44&gt;=60,"GOOD MATCH",IF(R44&gt;=40,"MODERATE / STRETCH",IF(R44&gt;=20,"POSSIBLE — GAPS EXIST","NOT RECOMMENDED NOW"))))</f>
        <v/>
      </c>
      <c r="T44">
        <f>IFERROR(SUMPRODUCT(($A$231:$A$313='MY PROFILE'!C10)*($B$231:$B$313=C44)*($C$231:$C$313)),999)</f>
        <v/>
      </c>
    </row>
    <row r="45">
      <c r="A45">
        <f>'ADMIN - POSITIONS'!A45</f>
        <v/>
      </c>
      <c r="B45">
        <f>'ADMIN - POSITIONS'!B45</f>
        <v/>
      </c>
      <c r="C45">
        <f>'ADMIN - POSITIONS'!D45</f>
        <v/>
      </c>
      <c r="D45">
        <f>'ADMIN - POSITIONS'!E45</f>
        <v/>
      </c>
      <c r="E45">
        <f>'ADMIN - POSITIONS'!F45</f>
        <v/>
      </c>
      <c r="F45">
        <f>'ADMIN - POSITIONS'!G45</f>
        <v/>
      </c>
      <c r="G45">
        <f>'ADMIN - POSITIONS'!H45</f>
        <v/>
      </c>
      <c r="H45">
        <f>'ADMIN - POSITIONS'!J45</f>
        <v/>
      </c>
      <c r="I45">
        <f>'ADMIN - POSITIONS'!K45</f>
        <v/>
      </c>
      <c r="J45">
        <f>'ADMIN - POSITIONS'!L45</f>
        <v/>
      </c>
      <c r="K45">
        <f>'ADMIN - POSITIONS'!M45</f>
        <v/>
      </c>
      <c r="L45">
        <f>'ADMIN - POSITIONS'!N45</f>
        <v/>
      </c>
      <c r="M45">
        <f>IF(E45=""," ",IF(EXACT(E45,'MY PROFILE'!E6)=FALSE,0,IF(AND(EXACT(F45,'MY PROFILE'!E6),EXACT(E45,'MY PROFILE'!C25)),35,IF(AND(EXACT(F45,'MY PROFILE'!E6),EXACT(E45,'MY PROFILE'!C6)),25,10))))</f>
        <v/>
      </c>
      <c r="N45">
        <f>IF(G45="","",IF(EXACT(G45,'MY PROFILE'!C7),30,IF(EXACT('MY PROFILE'!G27,"Yes"),10,0)))</f>
        <v/>
      </c>
      <c r="O45">
        <f>IF(T45=999,0,IF('MY PROFILE'!G10="No Limit",15,IF('MY PROFILE'!G10="30 Minutes",IF(T45&lt;=30,15,IF(T45&lt;=60,8,IF(T45&lt;=90,3,0))),IF('MY PROFILE'!G10="1 Hour",IF(T45&lt;=60,15,IF(T45&lt;=90,8,IF(T45&lt;=120,3,0))),IF('MY PROFILE'!G10="1.5 Hours",IF(T45&lt;=90,15,IF(T45&lt;=120,8,IF(T45&lt;=150,3,0))),IF('MY PROFILE'!G10="2 Hours",IF(T45&lt;=120,15,IF(T45&lt;=150,8,IF(T45&lt;=180,3,0))),IF('MY PROFILE'!G10="3 Hours",IF(T45&lt;=180,15,IF(T45&lt;=240,5,0)),15)))))))</f>
        <v/>
      </c>
      <c r="P45">
        <f>IF(EXACT('MY PROFILE'!C26,"Pursue Command"),IF(EXACT(I45,"Yes"),15,5),IF(EXACT('MY PROFILE'!C26,"Promote to Next Grade"),IF(EXACT(H45,"Leadership"),12,IF(EXACT(H45,"Staff"),10,8)),IF(EXACT('MY PROFILE'!C26,"Move to Staff"),IF(EXACT(H45,"Staff"),15,IF(EXACT(H45,"Technical"),10,5)),IF(EXACT('MY PROFILE'!C26,"Pursue AGR Full-Time"),IF(EXACT(J45,"AGR"),15,IF(EXACT(J45,"M-Day"),5,10)),8))))</f>
        <v/>
      </c>
      <c r="Q45">
        <f>IF(EXACT('MY PROFILE'!G6,"M-Day"),IF(EXACT(J45,"M-Day"),5,IF(EXACT(J45,"AGR"),1,3)),IF(EXACT('MY PROFILE'!G6,"AGR"),IF(EXACT(J45,"AGR"),5,IF(EXACT(J45,"M-Day"),2,3)),3))</f>
        <v/>
      </c>
      <c r="R45">
        <f>IFERROR(M45+N45+O45+P45+Q45,0)</f>
        <v/>
      </c>
      <c r="S45">
        <f>IF(R45&gt;=80,"STRONG MATCH",IF(R45&gt;=60,"GOOD MATCH",IF(R45&gt;=40,"MODERATE / STRETCH",IF(R45&gt;=20,"POSSIBLE — GAPS EXIST","NOT RECOMMENDED NOW"))))</f>
        <v/>
      </c>
      <c r="T45">
        <f>IFERROR(SUMPRODUCT(($A$231:$A$313='MY PROFILE'!C10)*($B$231:$B$313=C45)*($C$231:$C$313)),999)</f>
        <v/>
      </c>
    </row>
    <row r="46">
      <c r="A46">
        <f>'ADMIN - POSITIONS'!A46</f>
        <v/>
      </c>
      <c r="B46">
        <f>'ADMIN - POSITIONS'!B46</f>
        <v/>
      </c>
      <c r="C46">
        <f>'ADMIN - POSITIONS'!D46</f>
        <v/>
      </c>
      <c r="D46">
        <f>'ADMIN - POSITIONS'!E46</f>
        <v/>
      </c>
      <c r="E46">
        <f>'ADMIN - POSITIONS'!F46</f>
        <v/>
      </c>
      <c r="F46">
        <f>'ADMIN - POSITIONS'!G46</f>
        <v/>
      </c>
      <c r="G46">
        <f>'ADMIN - POSITIONS'!H46</f>
        <v/>
      </c>
      <c r="H46">
        <f>'ADMIN - POSITIONS'!J46</f>
        <v/>
      </c>
      <c r="I46">
        <f>'ADMIN - POSITIONS'!K46</f>
        <v/>
      </c>
      <c r="J46">
        <f>'ADMIN - POSITIONS'!L46</f>
        <v/>
      </c>
      <c r="K46">
        <f>'ADMIN - POSITIONS'!M46</f>
        <v/>
      </c>
      <c r="L46">
        <f>'ADMIN - POSITIONS'!N46</f>
        <v/>
      </c>
      <c r="M46">
        <f>IF(E46=""," ",IF(EXACT(E46,'MY PROFILE'!E6)=FALSE,0,IF(AND(EXACT(F46,'MY PROFILE'!E6),EXACT(E46,'MY PROFILE'!C25)),35,IF(AND(EXACT(F46,'MY PROFILE'!E6),EXACT(E46,'MY PROFILE'!C6)),25,10))))</f>
        <v/>
      </c>
      <c r="N46">
        <f>IF(G46="","",IF(EXACT(G46,'MY PROFILE'!C7),30,IF(EXACT('MY PROFILE'!G27,"Yes"),10,0)))</f>
        <v/>
      </c>
      <c r="O46">
        <f>IF(T46=999,0,IF('MY PROFILE'!G10="No Limit",15,IF('MY PROFILE'!G10="30 Minutes",IF(T46&lt;=30,15,IF(T46&lt;=60,8,IF(T46&lt;=90,3,0))),IF('MY PROFILE'!G10="1 Hour",IF(T46&lt;=60,15,IF(T46&lt;=90,8,IF(T46&lt;=120,3,0))),IF('MY PROFILE'!G10="1.5 Hours",IF(T46&lt;=90,15,IF(T46&lt;=120,8,IF(T46&lt;=150,3,0))),IF('MY PROFILE'!G10="2 Hours",IF(T46&lt;=120,15,IF(T46&lt;=150,8,IF(T46&lt;=180,3,0))),IF('MY PROFILE'!G10="3 Hours",IF(T46&lt;=180,15,IF(T46&lt;=240,5,0)),15)))))))</f>
        <v/>
      </c>
      <c r="P46">
        <f>IF(EXACT('MY PROFILE'!C26,"Pursue Command"),IF(EXACT(I46,"Yes"),15,5),IF(EXACT('MY PROFILE'!C26,"Promote to Next Grade"),IF(EXACT(H46,"Leadership"),12,IF(EXACT(H46,"Staff"),10,8)),IF(EXACT('MY PROFILE'!C26,"Move to Staff"),IF(EXACT(H46,"Staff"),15,IF(EXACT(H46,"Technical"),10,5)),IF(EXACT('MY PROFILE'!C26,"Pursue AGR Full-Time"),IF(EXACT(J46,"AGR"),15,IF(EXACT(J46,"M-Day"),5,10)),8))))</f>
        <v/>
      </c>
      <c r="Q46">
        <f>IF(EXACT('MY PROFILE'!G6,"M-Day"),IF(EXACT(J46,"M-Day"),5,IF(EXACT(J46,"AGR"),1,3)),IF(EXACT('MY PROFILE'!G6,"AGR"),IF(EXACT(J46,"AGR"),5,IF(EXACT(J46,"M-Day"),2,3)),3))</f>
        <v/>
      </c>
      <c r="R46">
        <f>IFERROR(M46+N46+O46+P46+Q46,0)</f>
        <v/>
      </c>
      <c r="S46">
        <f>IF(R46&gt;=80,"STRONG MATCH",IF(R46&gt;=60,"GOOD MATCH",IF(R46&gt;=40,"MODERATE / STRETCH",IF(R46&gt;=20,"POSSIBLE — GAPS EXIST","NOT RECOMMENDED NOW"))))</f>
        <v/>
      </c>
      <c r="T46">
        <f>IFERROR(SUMPRODUCT(($A$231:$A$313='MY PROFILE'!C10)*($B$231:$B$313=C46)*($C$231:$C$313)),999)</f>
        <v/>
      </c>
    </row>
    <row r="47">
      <c r="A47">
        <f>'ADMIN - POSITIONS'!A47</f>
        <v/>
      </c>
      <c r="B47">
        <f>'ADMIN - POSITIONS'!B47</f>
        <v/>
      </c>
      <c r="C47">
        <f>'ADMIN - POSITIONS'!D47</f>
        <v/>
      </c>
      <c r="D47">
        <f>'ADMIN - POSITIONS'!E47</f>
        <v/>
      </c>
      <c r="E47">
        <f>'ADMIN - POSITIONS'!F47</f>
        <v/>
      </c>
      <c r="F47">
        <f>'ADMIN - POSITIONS'!G47</f>
        <v/>
      </c>
      <c r="G47">
        <f>'ADMIN - POSITIONS'!H47</f>
        <v/>
      </c>
      <c r="H47">
        <f>'ADMIN - POSITIONS'!J47</f>
        <v/>
      </c>
      <c r="I47">
        <f>'ADMIN - POSITIONS'!K47</f>
        <v/>
      </c>
      <c r="J47">
        <f>'ADMIN - POSITIONS'!L47</f>
        <v/>
      </c>
      <c r="K47">
        <f>'ADMIN - POSITIONS'!M47</f>
        <v/>
      </c>
      <c r="L47">
        <f>'ADMIN - POSITIONS'!N47</f>
        <v/>
      </c>
      <c r="M47">
        <f>IF(E47=""," ",IF(EXACT(E47,'MY PROFILE'!E6)=FALSE,0,IF(AND(EXACT(F47,'MY PROFILE'!E6),EXACT(E47,'MY PROFILE'!C25)),35,IF(AND(EXACT(F47,'MY PROFILE'!E6),EXACT(E47,'MY PROFILE'!C6)),25,10))))</f>
        <v/>
      </c>
      <c r="N47">
        <f>IF(G47="","",IF(EXACT(G47,'MY PROFILE'!C7),30,IF(EXACT('MY PROFILE'!G27,"Yes"),10,0)))</f>
        <v/>
      </c>
      <c r="O47">
        <f>IF(T47=999,0,IF('MY PROFILE'!G10="No Limit",15,IF('MY PROFILE'!G10="30 Minutes",IF(T47&lt;=30,15,IF(T47&lt;=60,8,IF(T47&lt;=90,3,0))),IF('MY PROFILE'!G10="1 Hour",IF(T47&lt;=60,15,IF(T47&lt;=90,8,IF(T47&lt;=120,3,0))),IF('MY PROFILE'!G10="1.5 Hours",IF(T47&lt;=90,15,IF(T47&lt;=120,8,IF(T47&lt;=150,3,0))),IF('MY PROFILE'!G10="2 Hours",IF(T47&lt;=120,15,IF(T47&lt;=150,8,IF(T47&lt;=180,3,0))),IF('MY PROFILE'!G10="3 Hours",IF(T47&lt;=180,15,IF(T47&lt;=240,5,0)),15)))))))</f>
        <v/>
      </c>
      <c r="P47">
        <f>IF(EXACT('MY PROFILE'!C26,"Pursue Command"),IF(EXACT(I47,"Yes"),15,5),IF(EXACT('MY PROFILE'!C26,"Promote to Next Grade"),IF(EXACT(H47,"Leadership"),12,IF(EXACT(H47,"Staff"),10,8)),IF(EXACT('MY PROFILE'!C26,"Move to Staff"),IF(EXACT(H47,"Staff"),15,IF(EXACT(H47,"Technical"),10,5)),IF(EXACT('MY PROFILE'!C26,"Pursue AGR Full-Time"),IF(EXACT(J47,"AGR"),15,IF(EXACT(J47,"M-Day"),5,10)),8))))</f>
        <v/>
      </c>
      <c r="Q47">
        <f>IF(EXACT('MY PROFILE'!G6,"M-Day"),IF(EXACT(J47,"M-Day"),5,IF(EXACT(J47,"AGR"),1,3)),IF(EXACT('MY PROFILE'!G6,"AGR"),IF(EXACT(J47,"AGR"),5,IF(EXACT(J47,"M-Day"),2,3)),3))</f>
        <v/>
      </c>
      <c r="R47">
        <f>IFERROR(M47+N47+O47+P47+Q47,0)</f>
        <v/>
      </c>
      <c r="S47">
        <f>IF(R47&gt;=80,"STRONG MATCH",IF(R47&gt;=60,"GOOD MATCH",IF(R47&gt;=40,"MODERATE / STRETCH",IF(R47&gt;=20,"POSSIBLE — GAPS EXIST","NOT RECOMMENDED NOW"))))</f>
        <v/>
      </c>
      <c r="T47">
        <f>IFERROR(SUMPRODUCT(($A$231:$A$313='MY PROFILE'!C10)*($B$231:$B$313=C47)*($C$231:$C$313)),999)</f>
        <v/>
      </c>
    </row>
    <row r="48">
      <c r="A48">
        <f>'ADMIN - POSITIONS'!A48</f>
        <v/>
      </c>
      <c r="B48">
        <f>'ADMIN - POSITIONS'!B48</f>
        <v/>
      </c>
      <c r="C48">
        <f>'ADMIN - POSITIONS'!D48</f>
        <v/>
      </c>
      <c r="D48">
        <f>'ADMIN - POSITIONS'!E48</f>
        <v/>
      </c>
      <c r="E48">
        <f>'ADMIN - POSITIONS'!F48</f>
        <v/>
      </c>
      <c r="F48">
        <f>'ADMIN - POSITIONS'!G48</f>
        <v/>
      </c>
      <c r="G48">
        <f>'ADMIN - POSITIONS'!H48</f>
        <v/>
      </c>
      <c r="H48">
        <f>'ADMIN - POSITIONS'!J48</f>
        <v/>
      </c>
      <c r="I48">
        <f>'ADMIN - POSITIONS'!K48</f>
        <v/>
      </c>
      <c r="J48">
        <f>'ADMIN - POSITIONS'!L48</f>
        <v/>
      </c>
      <c r="K48">
        <f>'ADMIN - POSITIONS'!M48</f>
        <v/>
      </c>
      <c r="L48">
        <f>'ADMIN - POSITIONS'!N48</f>
        <v/>
      </c>
      <c r="M48">
        <f>IF(E48=""," ",IF(EXACT(E48,'MY PROFILE'!E6)=FALSE,0,IF(AND(EXACT(F48,'MY PROFILE'!E6),EXACT(E48,'MY PROFILE'!C25)),35,IF(AND(EXACT(F48,'MY PROFILE'!E6),EXACT(E48,'MY PROFILE'!C6)),25,10))))</f>
        <v/>
      </c>
      <c r="N48">
        <f>IF(G48="","",IF(EXACT(G48,'MY PROFILE'!C7),30,IF(EXACT('MY PROFILE'!G27,"Yes"),10,0)))</f>
        <v/>
      </c>
      <c r="O48">
        <f>IF(T48=999,0,IF('MY PROFILE'!G10="No Limit",15,IF('MY PROFILE'!G10="30 Minutes",IF(T48&lt;=30,15,IF(T48&lt;=60,8,IF(T48&lt;=90,3,0))),IF('MY PROFILE'!G10="1 Hour",IF(T48&lt;=60,15,IF(T48&lt;=90,8,IF(T48&lt;=120,3,0))),IF('MY PROFILE'!G10="1.5 Hours",IF(T48&lt;=90,15,IF(T48&lt;=120,8,IF(T48&lt;=150,3,0))),IF('MY PROFILE'!G10="2 Hours",IF(T48&lt;=120,15,IF(T48&lt;=150,8,IF(T48&lt;=180,3,0))),IF('MY PROFILE'!G10="3 Hours",IF(T48&lt;=180,15,IF(T48&lt;=240,5,0)),15)))))))</f>
        <v/>
      </c>
      <c r="P48">
        <f>IF(EXACT('MY PROFILE'!C26,"Pursue Command"),IF(EXACT(I48,"Yes"),15,5),IF(EXACT('MY PROFILE'!C26,"Promote to Next Grade"),IF(EXACT(H48,"Leadership"),12,IF(EXACT(H48,"Staff"),10,8)),IF(EXACT('MY PROFILE'!C26,"Move to Staff"),IF(EXACT(H48,"Staff"),15,IF(EXACT(H48,"Technical"),10,5)),IF(EXACT('MY PROFILE'!C26,"Pursue AGR Full-Time"),IF(EXACT(J48,"AGR"),15,IF(EXACT(J48,"M-Day"),5,10)),8))))</f>
        <v/>
      </c>
      <c r="Q48">
        <f>IF(EXACT('MY PROFILE'!G6,"M-Day"),IF(EXACT(J48,"M-Day"),5,IF(EXACT(J48,"AGR"),1,3)),IF(EXACT('MY PROFILE'!G6,"AGR"),IF(EXACT(J48,"AGR"),5,IF(EXACT(J48,"M-Day"),2,3)),3))</f>
        <v/>
      </c>
      <c r="R48">
        <f>IFERROR(M48+N48+O48+P48+Q48,0)</f>
        <v/>
      </c>
      <c r="S48">
        <f>IF(R48&gt;=80,"STRONG MATCH",IF(R48&gt;=60,"GOOD MATCH",IF(R48&gt;=40,"MODERATE / STRETCH",IF(R48&gt;=20,"POSSIBLE — GAPS EXIST","NOT RECOMMENDED NOW"))))</f>
        <v/>
      </c>
      <c r="T48">
        <f>IFERROR(SUMPRODUCT(($A$231:$A$313='MY PROFILE'!C10)*($B$231:$B$313=C48)*($C$231:$C$313)),999)</f>
        <v/>
      </c>
    </row>
    <row r="49">
      <c r="A49">
        <f>'ADMIN - POSITIONS'!A49</f>
        <v/>
      </c>
      <c r="B49">
        <f>'ADMIN - POSITIONS'!B49</f>
        <v/>
      </c>
      <c r="C49">
        <f>'ADMIN - POSITIONS'!D49</f>
        <v/>
      </c>
      <c r="D49">
        <f>'ADMIN - POSITIONS'!E49</f>
        <v/>
      </c>
      <c r="E49">
        <f>'ADMIN - POSITIONS'!F49</f>
        <v/>
      </c>
      <c r="F49">
        <f>'ADMIN - POSITIONS'!G49</f>
        <v/>
      </c>
      <c r="G49">
        <f>'ADMIN - POSITIONS'!H49</f>
        <v/>
      </c>
      <c r="H49">
        <f>'ADMIN - POSITIONS'!J49</f>
        <v/>
      </c>
      <c r="I49">
        <f>'ADMIN - POSITIONS'!K49</f>
        <v/>
      </c>
      <c r="J49">
        <f>'ADMIN - POSITIONS'!L49</f>
        <v/>
      </c>
      <c r="K49">
        <f>'ADMIN - POSITIONS'!M49</f>
        <v/>
      </c>
      <c r="L49">
        <f>'ADMIN - POSITIONS'!N49</f>
        <v/>
      </c>
      <c r="M49">
        <f>IF(E49=""," ",IF(EXACT(E49,'MY PROFILE'!E6)=FALSE,0,IF(AND(EXACT(F49,'MY PROFILE'!E6),EXACT(E49,'MY PROFILE'!C25)),35,IF(AND(EXACT(F49,'MY PROFILE'!E6),EXACT(E49,'MY PROFILE'!C6)),25,10))))</f>
        <v/>
      </c>
      <c r="N49">
        <f>IF(G49="","",IF(EXACT(G49,'MY PROFILE'!C7),30,IF(EXACT('MY PROFILE'!G27,"Yes"),10,0)))</f>
        <v/>
      </c>
      <c r="O49">
        <f>IF(T49=999,0,IF('MY PROFILE'!G10="No Limit",15,IF('MY PROFILE'!G10="30 Minutes",IF(T49&lt;=30,15,IF(T49&lt;=60,8,IF(T49&lt;=90,3,0))),IF('MY PROFILE'!G10="1 Hour",IF(T49&lt;=60,15,IF(T49&lt;=90,8,IF(T49&lt;=120,3,0))),IF('MY PROFILE'!G10="1.5 Hours",IF(T49&lt;=90,15,IF(T49&lt;=120,8,IF(T49&lt;=150,3,0))),IF('MY PROFILE'!G10="2 Hours",IF(T49&lt;=120,15,IF(T49&lt;=150,8,IF(T49&lt;=180,3,0))),IF('MY PROFILE'!G10="3 Hours",IF(T49&lt;=180,15,IF(T49&lt;=240,5,0)),15)))))))</f>
        <v/>
      </c>
      <c r="P49">
        <f>IF(EXACT('MY PROFILE'!C26,"Pursue Command"),IF(EXACT(I49,"Yes"),15,5),IF(EXACT('MY PROFILE'!C26,"Promote to Next Grade"),IF(EXACT(H49,"Leadership"),12,IF(EXACT(H49,"Staff"),10,8)),IF(EXACT('MY PROFILE'!C26,"Move to Staff"),IF(EXACT(H49,"Staff"),15,IF(EXACT(H49,"Technical"),10,5)),IF(EXACT('MY PROFILE'!C26,"Pursue AGR Full-Time"),IF(EXACT(J49,"AGR"),15,IF(EXACT(J49,"M-Day"),5,10)),8))))</f>
        <v/>
      </c>
      <c r="Q49">
        <f>IF(EXACT('MY PROFILE'!G6,"M-Day"),IF(EXACT(J49,"M-Day"),5,IF(EXACT(J49,"AGR"),1,3)),IF(EXACT('MY PROFILE'!G6,"AGR"),IF(EXACT(J49,"AGR"),5,IF(EXACT(J49,"M-Day"),2,3)),3))</f>
        <v/>
      </c>
      <c r="R49">
        <f>IFERROR(M49+N49+O49+P49+Q49,0)</f>
        <v/>
      </c>
      <c r="S49">
        <f>IF(R49&gt;=80,"STRONG MATCH",IF(R49&gt;=60,"GOOD MATCH",IF(R49&gt;=40,"MODERATE / STRETCH",IF(R49&gt;=20,"POSSIBLE — GAPS EXIST","NOT RECOMMENDED NOW"))))</f>
        <v/>
      </c>
      <c r="T49">
        <f>IFERROR(SUMPRODUCT(($A$231:$A$313='MY PROFILE'!C10)*($B$231:$B$313=C49)*($C$231:$C$313)),999)</f>
        <v/>
      </c>
    </row>
    <row r="50">
      <c r="A50">
        <f>'ADMIN - POSITIONS'!A50</f>
        <v/>
      </c>
      <c r="B50">
        <f>'ADMIN - POSITIONS'!B50</f>
        <v/>
      </c>
      <c r="C50">
        <f>'ADMIN - POSITIONS'!D50</f>
        <v/>
      </c>
      <c r="D50">
        <f>'ADMIN - POSITIONS'!E50</f>
        <v/>
      </c>
      <c r="E50">
        <f>'ADMIN - POSITIONS'!F50</f>
        <v/>
      </c>
      <c r="F50">
        <f>'ADMIN - POSITIONS'!G50</f>
        <v/>
      </c>
      <c r="G50">
        <f>'ADMIN - POSITIONS'!H50</f>
        <v/>
      </c>
      <c r="H50">
        <f>'ADMIN - POSITIONS'!J50</f>
        <v/>
      </c>
      <c r="I50">
        <f>'ADMIN - POSITIONS'!K50</f>
        <v/>
      </c>
      <c r="J50">
        <f>'ADMIN - POSITIONS'!L50</f>
        <v/>
      </c>
      <c r="K50">
        <f>'ADMIN - POSITIONS'!M50</f>
        <v/>
      </c>
      <c r="L50">
        <f>'ADMIN - POSITIONS'!N50</f>
        <v/>
      </c>
      <c r="M50">
        <f>IF(E50=""," ",IF(EXACT(E50,'MY PROFILE'!E6)=FALSE,0,IF(AND(EXACT(F50,'MY PROFILE'!E6),EXACT(E50,'MY PROFILE'!C25)),35,IF(AND(EXACT(F50,'MY PROFILE'!E6),EXACT(E50,'MY PROFILE'!C6)),25,10))))</f>
        <v/>
      </c>
      <c r="N50">
        <f>IF(G50="","",IF(EXACT(G50,'MY PROFILE'!C7),30,IF(EXACT('MY PROFILE'!G27,"Yes"),10,0)))</f>
        <v/>
      </c>
      <c r="O50">
        <f>IF(T50=999,0,IF('MY PROFILE'!G10="No Limit",15,IF('MY PROFILE'!G10="30 Minutes",IF(T50&lt;=30,15,IF(T50&lt;=60,8,IF(T50&lt;=90,3,0))),IF('MY PROFILE'!G10="1 Hour",IF(T50&lt;=60,15,IF(T50&lt;=90,8,IF(T50&lt;=120,3,0))),IF('MY PROFILE'!G10="1.5 Hours",IF(T50&lt;=90,15,IF(T50&lt;=120,8,IF(T50&lt;=150,3,0))),IF('MY PROFILE'!G10="2 Hours",IF(T50&lt;=120,15,IF(T50&lt;=150,8,IF(T50&lt;=180,3,0))),IF('MY PROFILE'!G10="3 Hours",IF(T50&lt;=180,15,IF(T50&lt;=240,5,0)),15)))))))</f>
        <v/>
      </c>
      <c r="P50">
        <f>IF(EXACT('MY PROFILE'!C26,"Pursue Command"),IF(EXACT(I50,"Yes"),15,5),IF(EXACT('MY PROFILE'!C26,"Promote to Next Grade"),IF(EXACT(H50,"Leadership"),12,IF(EXACT(H50,"Staff"),10,8)),IF(EXACT('MY PROFILE'!C26,"Move to Staff"),IF(EXACT(H50,"Staff"),15,IF(EXACT(H50,"Technical"),10,5)),IF(EXACT('MY PROFILE'!C26,"Pursue AGR Full-Time"),IF(EXACT(J50,"AGR"),15,IF(EXACT(J50,"M-Day"),5,10)),8))))</f>
        <v/>
      </c>
      <c r="Q50">
        <f>IF(EXACT('MY PROFILE'!G6,"M-Day"),IF(EXACT(J50,"M-Day"),5,IF(EXACT(J50,"AGR"),1,3)),IF(EXACT('MY PROFILE'!G6,"AGR"),IF(EXACT(J50,"AGR"),5,IF(EXACT(J50,"M-Day"),2,3)),3))</f>
        <v/>
      </c>
      <c r="R50">
        <f>IFERROR(M50+N50+O50+P50+Q50,0)</f>
        <v/>
      </c>
      <c r="S50">
        <f>IF(R50&gt;=80,"STRONG MATCH",IF(R50&gt;=60,"GOOD MATCH",IF(R50&gt;=40,"MODERATE / STRETCH",IF(R50&gt;=20,"POSSIBLE — GAPS EXIST","NOT RECOMMENDED NOW"))))</f>
        <v/>
      </c>
      <c r="T50">
        <f>IFERROR(SUMPRODUCT(($A$231:$A$313='MY PROFILE'!C10)*($B$231:$B$313=C50)*($C$231:$C$313)),999)</f>
        <v/>
      </c>
    </row>
    <row r="51">
      <c r="A51">
        <f>'ADMIN - POSITIONS'!A51</f>
        <v/>
      </c>
      <c r="B51">
        <f>'ADMIN - POSITIONS'!B51</f>
        <v/>
      </c>
      <c r="C51">
        <f>'ADMIN - POSITIONS'!D51</f>
        <v/>
      </c>
      <c r="D51">
        <f>'ADMIN - POSITIONS'!E51</f>
        <v/>
      </c>
      <c r="E51">
        <f>'ADMIN - POSITIONS'!F51</f>
        <v/>
      </c>
      <c r="F51">
        <f>'ADMIN - POSITIONS'!G51</f>
        <v/>
      </c>
      <c r="G51">
        <f>'ADMIN - POSITIONS'!H51</f>
        <v/>
      </c>
      <c r="H51">
        <f>'ADMIN - POSITIONS'!J51</f>
        <v/>
      </c>
      <c r="I51">
        <f>'ADMIN - POSITIONS'!K51</f>
        <v/>
      </c>
      <c r="J51">
        <f>'ADMIN - POSITIONS'!L51</f>
        <v/>
      </c>
      <c r="K51">
        <f>'ADMIN - POSITIONS'!M51</f>
        <v/>
      </c>
      <c r="L51">
        <f>'ADMIN - POSITIONS'!N51</f>
        <v/>
      </c>
      <c r="M51">
        <f>IF(E51=""," ",IF(EXACT(E51,'MY PROFILE'!E6)=FALSE,0,IF(AND(EXACT(F51,'MY PROFILE'!E6),EXACT(E51,'MY PROFILE'!C25)),35,IF(AND(EXACT(F51,'MY PROFILE'!E6),EXACT(E51,'MY PROFILE'!C6)),25,10))))</f>
        <v/>
      </c>
      <c r="N51">
        <f>IF(G51="","",IF(EXACT(G51,'MY PROFILE'!C7),30,IF(EXACT('MY PROFILE'!G27,"Yes"),10,0)))</f>
        <v/>
      </c>
      <c r="O51">
        <f>IF(T51=999,0,IF('MY PROFILE'!G10="No Limit",15,IF('MY PROFILE'!G10="30 Minutes",IF(T51&lt;=30,15,IF(T51&lt;=60,8,IF(T51&lt;=90,3,0))),IF('MY PROFILE'!G10="1 Hour",IF(T51&lt;=60,15,IF(T51&lt;=90,8,IF(T51&lt;=120,3,0))),IF('MY PROFILE'!G10="1.5 Hours",IF(T51&lt;=90,15,IF(T51&lt;=120,8,IF(T51&lt;=150,3,0))),IF('MY PROFILE'!G10="2 Hours",IF(T51&lt;=120,15,IF(T51&lt;=150,8,IF(T51&lt;=180,3,0))),IF('MY PROFILE'!G10="3 Hours",IF(T51&lt;=180,15,IF(T51&lt;=240,5,0)),15)))))))</f>
        <v/>
      </c>
      <c r="P51">
        <f>IF(EXACT('MY PROFILE'!C26,"Pursue Command"),IF(EXACT(I51,"Yes"),15,5),IF(EXACT('MY PROFILE'!C26,"Promote to Next Grade"),IF(EXACT(H51,"Leadership"),12,IF(EXACT(H51,"Staff"),10,8)),IF(EXACT('MY PROFILE'!C26,"Move to Staff"),IF(EXACT(H51,"Staff"),15,IF(EXACT(H51,"Technical"),10,5)),IF(EXACT('MY PROFILE'!C26,"Pursue AGR Full-Time"),IF(EXACT(J51,"AGR"),15,IF(EXACT(J51,"M-Day"),5,10)),8))))</f>
        <v/>
      </c>
      <c r="Q51">
        <f>IF(EXACT('MY PROFILE'!G6,"M-Day"),IF(EXACT(J51,"M-Day"),5,IF(EXACT(J51,"AGR"),1,3)),IF(EXACT('MY PROFILE'!G6,"AGR"),IF(EXACT(J51,"AGR"),5,IF(EXACT(J51,"M-Day"),2,3)),3))</f>
        <v/>
      </c>
      <c r="R51">
        <f>IFERROR(M51+N51+O51+P51+Q51,0)</f>
        <v/>
      </c>
      <c r="S51">
        <f>IF(R51&gt;=80,"STRONG MATCH",IF(R51&gt;=60,"GOOD MATCH",IF(R51&gt;=40,"MODERATE / STRETCH",IF(R51&gt;=20,"POSSIBLE — GAPS EXIST","NOT RECOMMENDED NOW"))))</f>
        <v/>
      </c>
      <c r="T51">
        <f>IFERROR(SUMPRODUCT(($A$231:$A$313='MY PROFILE'!C10)*($B$231:$B$313=C51)*($C$231:$C$313)),999)</f>
        <v/>
      </c>
    </row>
    <row r="52">
      <c r="A52">
        <f>'ADMIN - POSITIONS'!A52</f>
        <v/>
      </c>
      <c r="B52">
        <f>'ADMIN - POSITIONS'!B52</f>
        <v/>
      </c>
      <c r="C52">
        <f>'ADMIN - POSITIONS'!D52</f>
        <v/>
      </c>
      <c r="D52">
        <f>'ADMIN - POSITIONS'!E52</f>
        <v/>
      </c>
      <c r="E52">
        <f>'ADMIN - POSITIONS'!F52</f>
        <v/>
      </c>
      <c r="F52">
        <f>'ADMIN - POSITIONS'!G52</f>
        <v/>
      </c>
      <c r="G52">
        <f>'ADMIN - POSITIONS'!H52</f>
        <v/>
      </c>
      <c r="H52">
        <f>'ADMIN - POSITIONS'!J52</f>
        <v/>
      </c>
      <c r="I52">
        <f>'ADMIN - POSITIONS'!K52</f>
        <v/>
      </c>
      <c r="J52">
        <f>'ADMIN - POSITIONS'!L52</f>
        <v/>
      </c>
      <c r="K52">
        <f>'ADMIN - POSITIONS'!M52</f>
        <v/>
      </c>
      <c r="L52">
        <f>'ADMIN - POSITIONS'!N52</f>
        <v/>
      </c>
      <c r="M52">
        <f>IF(E52=""," ",IF(EXACT(E52,'MY PROFILE'!E6)=FALSE,0,IF(AND(EXACT(F52,'MY PROFILE'!E6),EXACT(E52,'MY PROFILE'!C25)),35,IF(AND(EXACT(F52,'MY PROFILE'!E6),EXACT(E52,'MY PROFILE'!C6)),25,10))))</f>
        <v/>
      </c>
      <c r="N52">
        <f>IF(G52="","",IF(EXACT(G52,'MY PROFILE'!C7),30,IF(EXACT('MY PROFILE'!G27,"Yes"),10,0)))</f>
        <v/>
      </c>
      <c r="O52">
        <f>IF(T52=999,0,IF('MY PROFILE'!G10="No Limit",15,IF('MY PROFILE'!G10="30 Minutes",IF(T52&lt;=30,15,IF(T52&lt;=60,8,IF(T52&lt;=90,3,0))),IF('MY PROFILE'!G10="1 Hour",IF(T52&lt;=60,15,IF(T52&lt;=90,8,IF(T52&lt;=120,3,0))),IF('MY PROFILE'!G10="1.5 Hours",IF(T52&lt;=90,15,IF(T52&lt;=120,8,IF(T52&lt;=150,3,0))),IF('MY PROFILE'!G10="2 Hours",IF(T52&lt;=120,15,IF(T52&lt;=150,8,IF(T52&lt;=180,3,0))),IF('MY PROFILE'!G10="3 Hours",IF(T52&lt;=180,15,IF(T52&lt;=240,5,0)),15)))))))</f>
        <v/>
      </c>
      <c r="P52">
        <f>IF(EXACT('MY PROFILE'!C26,"Pursue Command"),IF(EXACT(I52,"Yes"),15,5),IF(EXACT('MY PROFILE'!C26,"Promote to Next Grade"),IF(EXACT(H52,"Leadership"),12,IF(EXACT(H52,"Staff"),10,8)),IF(EXACT('MY PROFILE'!C26,"Move to Staff"),IF(EXACT(H52,"Staff"),15,IF(EXACT(H52,"Technical"),10,5)),IF(EXACT('MY PROFILE'!C26,"Pursue AGR Full-Time"),IF(EXACT(J52,"AGR"),15,IF(EXACT(J52,"M-Day"),5,10)),8))))</f>
        <v/>
      </c>
      <c r="Q52">
        <f>IF(EXACT('MY PROFILE'!G6,"M-Day"),IF(EXACT(J52,"M-Day"),5,IF(EXACT(J52,"AGR"),1,3)),IF(EXACT('MY PROFILE'!G6,"AGR"),IF(EXACT(J52,"AGR"),5,IF(EXACT(J52,"M-Day"),2,3)),3))</f>
        <v/>
      </c>
      <c r="R52">
        <f>IFERROR(M52+N52+O52+P52+Q52,0)</f>
        <v/>
      </c>
      <c r="S52">
        <f>IF(R52&gt;=80,"STRONG MATCH",IF(R52&gt;=60,"GOOD MATCH",IF(R52&gt;=40,"MODERATE / STRETCH",IF(R52&gt;=20,"POSSIBLE — GAPS EXIST","NOT RECOMMENDED NOW"))))</f>
        <v/>
      </c>
      <c r="T52">
        <f>IFERROR(SUMPRODUCT(($A$231:$A$313='MY PROFILE'!C10)*($B$231:$B$313=C52)*($C$231:$C$313)),999)</f>
        <v/>
      </c>
    </row>
    <row r="53">
      <c r="A53">
        <f>'ADMIN - POSITIONS'!A53</f>
        <v/>
      </c>
      <c r="B53">
        <f>'ADMIN - POSITIONS'!B53</f>
        <v/>
      </c>
      <c r="C53">
        <f>'ADMIN - POSITIONS'!D53</f>
        <v/>
      </c>
      <c r="D53">
        <f>'ADMIN - POSITIONS'!E53</f>
        <v/>
      </c>
      <c r="E53">
        <f>'ADMIN - POSITIONS'!F53</f>
        <v/>
      </c>
      <c r="F53">
        <f>'ADMIN - POSITIONS'!G53</f>
        <v/>
      </c>
      <c r="G53">
        <f>'ADMIN - POSITIONS'!H53</f>
        <v/>
      </c>
      <c r="H53">
        <f>'ADMIN - POSITIONS'!J53</f>
        <v/>
      </c>
      <c r="I53">
        <f>'ADMIN - POSITIONS'!K53</f>
        <v/>
      </c>
      <c r="J53">
        <f>'ADMIN - POSITIONS'!L53</f>
        <v/>
      </c>
      <c r="K53">
        <f>'ADMIN - POSITIONS'!M53</f>
        <v/>
      </c>
      <c r="L53">
        <f>'ADMIN - POSITIONS'!N53</f>
        <v/>
      </c>
      <c r="M53">
        <f>IF(E53=""," ",IF(EXACT(E53,'MY PROFILE'!E6)=FALSE,0,IF(AND(EXACT(F53,'MY PROFILE'!E6),EXACT(E53,'MY PROFILE'!C25)),35,IF(AND(EXACT(F53,'MY PROFILE'!E6),EXACT(E53,'MY PROFILE'!C6)),25,10))))</f>
        <v/>
      </c>
      <c r="N53">
        <f>IF(G53="","",IF(EXACT(G53,'MY PROFILE'!C7),30,IF(EXACT('MY PROFILE'!G27,"Yes"),10,0)))</f>
        <v/>
      </c>
      <c r="O53">
        <f>IF(T53=999,0,IF('MY PROFILE'!G10="No Limit",15,IF('MY PROFILE'!G10="30 Minutes",IF(T53&lt;=30,15,IF(T53&lt;=60,8,IF(T53&lt;=90,3,0))),IF('MY PROFILE'!G10="1 Hour",IF(T53&lt;=60,15,IF(T53&lt;=90,8,IF(T53&lt;=120,3,0))),IF('MY PROFILE'!G10="1.5 Hours",IF(T53&lt;=90,15,IF(T53&lt;=120,8,IF(T53&lt;=150,3,0))),IF('MY PROFILE'!G10="2 Hours",IF(T53&lt;=120,15,IF(T53&lt;=150,8,IF(T53&lt;=180,3,0))),IF('MY PROFILE'!G10="3 Hours",IF(T53&lt;=180,15,IF(T53&lt;=240,5,0)),15)))))))</f>
        <v/>
      </c>
      <c r="P53">
        <f>IF(EXACT('MY PROFILE'!C26,"Pursue Command"),IF(EXACT(I53,"Yes"),15,5),IF(EXACT('MY PROFILE'!C26,"Promote to Next Grade"),IF(EXACT(H53,"Leadership"),12,IF(EXACT(H53,"Staff"),10,8)),IF(EXACT('MY PROFILE'!C26,"Move to Staff"),IF(EXACT(H53,"Staff"),15,IF(EXACT(H53,"Technical"),10,5)),IF(EXACT('MY PROFILE'!C26,"Pursue AGR Full-Time"),IF(EXACT(J53,"AGR"),15,IF(EXACT(J53,"M-Day"),5,10)),8))))</f>
        <v/>
      </c>
      <c r="Q53">
        <f>IF(EXACT('MY PROFILE'!G6,"M-Day"),IF(EXACT(J53,"M-Day"),5,IF(EXACT(J53,"AGR"),1,3)),IF(EXACT('MY PROFILE'!G6,"AGR"),IF(EXACT(J53,"AGR"),5,IF(EXACT(J53,"M-Day"),2,3)),3))</f>
        <v/>
      </c>
      <c r="R53">
        <f>IFERROR(M53+N53+O53+P53+Q53,0)</f>
        <v/>
      </c>
      <c r="S53">
        <f>IF(R53&gt;=80,"STRONG MATCH",IF(R53&gt;=60,"GOOD MATCH",IF(R53&gt;=40,"MODERATE / STRETCH",IF(R53&gt;=20,"POSSIBLE — GAPS EXIST","NOT RECOMMENDED NOW"))))</f>
        <v/>
      </c>
      <c r="T53">
        <f>IFERROR(SUMPRODUCT(($A$231:$A$313='MY PROFILE'!C10)*($B$231:$B$313=C53)*($C$231:$C$313)),999)</f>
        <v/>
      </c>
    </row>
    <row r="54">
      <c r="A54">
        <f>'ADMIN - POSITIONS'!A54</f>
        <v/>
      </c>
      <c r="B54">
        <f>'ADMIN - POSITIONS'!B54</f>
        <v/>
      </c>
      <c r="C54">
        <f>'ADMIN - POSITIONS'!D54</f>
        <v/>
      </c>
      <c r="D54">
        <f>'ADMIN - POSITIONS'!E54</f>
        <v/>
      </c>
      <c r="E54">
        <f>'ADMIN - POSITIONS'!F54</f>
        <v/>
      </c>
      <c r="F54">
        <f>'ADMIN - POSITIONS'!G54</f>
        <v/>
      </c>
      <c r="G54">
        <f>'ADMIN - POSITIONS'!H54</f>
        <v/>
      </c>
      <c r="H54">
        <f>'ADMIN - POSITIONS'!J54</f>
        <v/>
      </c>
      <c r="I54">
        <f>'ADMIN - POSITIONS'!K54</f>
        <v/>
      </c>
      <c r="J54">
        <f>'ADMIN - POSITIONS'!L54</f>
        <v/>
      </c>
      <c r="K54">
        <f>'ADMIN - POSITIONS'!M54</f>
        <v/>
      </c>
      <c r="L54">
        <f>'ADMIN - POSITIONS'!N54</f>
        <v/>
      </c>
      <c r="M54">
        <f>IF(E54=""," ",IF(EXACT(E54,'MY PROFILE'!E6)=FALSE,0,IF(AND(EXACT(F54,'MY PROFILE'!E6),EXACT(E54,'MY PROFILE'!C25)),35,IF(AND(EXACT(F54,'MY PROFILE'!E6),EXACT(E54,'MY PROFILE'!C6)),25,10))))</f>
        <v/>
      </c>
      <c r="N54">
        <f>IF(G54="","",IF(EXACT(G54,'MY PROFILE'!C7),30,IF(EXACT('MY PROFILE'!G27,"Yes"),10,0)))</f>
        <v/>
      </c>
      <c r="O54">
        <f>IF(T54=999,0,IF('MY PROFILE'!G10="No Limit",15,IF('MY PROFILE'!G10="30 Minutes",IF(T54&lt;=30,15,IF(T54&lt;=60,8,IF(T54&lt;=90,3,0))),IF('MY PROFILE'!G10="1 Hour",IF(T54&lt;=60,15,IF(T54&lt;=90,8,IF(T54&lt;=120,3,0))),IF('MY PROFILE'!G10="1.5 Hours",IF(T54&lt;=90,15,IF(T54&lt;=120,8,IF(T54&lt;=150,3,0))),IF('MY PROFILE'!G10="2 Hours",IF(T54&lt;=120,15,IF(T54&lt;=150,8,IF(T54&lt;=180,3,0))),IF('MY PROFILE'!G10="3 Hours",IF(T54&lt;=180,15,IF(T54&lt;=240,5,0)),15)))))))</f>
        <v/>
      </c>
      <c r="P54">
        <f>IF(EXACT('MY PROFILE'!C26,"Pursue Command"),IF(EXACT(I54,"Yes"),15,5),IF(EXACT('MY PROFILE'!C26,"Promote to Next Grade"),IF(EXACT(H54,"Leadership"),12,IF(EXACT(H54,"Staff"),10,8)),IF(EXACT('MY PROFILE'!C26,"Move to Staff"),IF(EXACT(H54,"Staff"),15,IF(EXACT(H54,"Technical"),10,5)),IF(EXACT('MY PROFILE'!C26,"Pursue AGR Full-Time"),IF(EXACT(J54,"AGR"),15,IF(EXACT(J54,"M-Day"),5,10)),8))))</f>
        <v/>
      </c>
      <c r="Q54">
        <f>IF(EXACT('MY PROFILE'!G6,"M-Day"),IF(EXACT(J54,"M-Day"),5,IF(EXACT(J54,"AGR"),1,3)),IF(EXACT('MY PROFILE'!G6,"AGR"),IF(EXACT(J54,"AGR"),5,IF(EXACT(J54,"M-Day"),2,3)),3))</f>
        <v/>
      </c>
      <c r="R54">
        <f>IFERROR(M54+N54+O54+P54+Q54,0)</f>
        <v/>
      </c>
      <c r="S54">
        <f>IF(R54&gt;=80,"STRONG MATCH",IF(R54&gt;=60,"GOOD MATCH",IF(R54&gt;=40,"MODERATE / STRETCH",IF(R54&gt;=20,"POSSIBLE — GAPS EXIST","NOT RECOMMENDED NOW"))))</f>
        <v/>
      </c>
      <c r="T54">
        <f>IFERROR(SUMPRODUCT(($A$231:$A$313='MY PROFILE'!C10)*($B$231:$B$313=C54)*($C$231:$C$313)),999)</f>
        <v/>
      </c>
    </row>
    <row r="55">
      <c r="A55">
        <f>'ADMIN - POSITIONS'!A55</f>
        <v/>
      </c>
      <c r="B55">
        <f>'ADMIN - POSITIONS'!B55</f>
        <v/>
      </c>
      <c r="C55">
        <f>'ADMIN - POSITIONS'!D55</f>
        <v/>
      </c>
      <c r="D55">
        <f>'ADMIN - POSITIONS'!E55</f>
        <v/>
      </c>
      <c r="E55">
        <f>'ADMIN - POSITIONS'!F55</f>
        <v/>
      </c>
      <c r="F55">
        <f>'ADMIN - POSITIONS'!G55</f>
        <v/>
      </c>
      <c r="G55">
        <f>'ADMIN - POSITIONS'!H55</f>
        <v/>
      </c>
      <c r="H55">
        <f>'ADMIN - POSITIONS'!J55</f>
        <v/>
      </c>
      <c r="I55">
        <f>'ADMIN - POSITIONS'!K55</f>
        <v/>
      </c>
      <c r="J55">
        <f>'ADMIN - POSITIONS'!L55</f>
        <v/>
      </c>
      <c r="K55">
        <f>'ADMIN - POSITIONS'!M55</f>
        <v/>
      </c>
      <c r="L55">
        <f>'ADMIN - POSITIONS'!N55</f>
        <v/>
      </c>
      <c r="M55">
        <f>IF(E55=""," ",IF(EXACT(E55,'MY PROFILE'!E6)=FALSE,0,IF(AND(EXACT(F55,'MY PROFILE'!E6),EXACT(E55,'MY PROFILE'!C25)),35,IF(AND(EXACT(F55,'MY PROFILE'!E6),EXACT(E55,'MY PROFILE'!C6)),25,10))))</f>
        <v/>
      </c>
      <c r="N55">
        <f>IF(G55="","",IF(EXACT(G55,'MY PROFILE'!C7),30,IF(EXACT('MY PROFILE'!G27,"Yes"),10,0)))</f>
        <v/>
      </c>
      <c r="O55">
        <f>IF(T55=999,0,IF('MY PROFILE'!G10="No Limit",15,IF('MY PROFILE'!G10="30 Minutes",IF(T55&lt;=30,15,IF(T55&lt;=60,8,IF(T55&lt;=90,3,0))),IF('MY PROFILE'!G10="1 Hour",IF(T55&lt;=60,15,IF(T55&lt;=90,8,IF(T55&lt;=120,3,0))),IF('MY PROFILE'!G10="1.5 Hours",IF(T55&lt;=90,15,IF(T55&lt;=120,8,IF(T55&lt;=150,3,0))),IF('MY PROFILE'!G10="2 Hours",IF(T55&lt;=120,15,IF(T55&lt;=150,8,IF(T55&lt;=180,3,0))),IF('MY PROFILE'!G10="3 Hours",IF(T55&lt;=180,15,IF(T55&lt;=240,5,0)),15)))))))</f>
        <v/>
      </c>
      <c r="P55">
        <f>IF(EXACT('MY PROFILE'!C26,"Pursue Command"),IF(EXACT(I55,"Yes"),15,5),IF(EXACT('MY PROFILE'!C26,"Promote to Next Grade"),IF(EXACT(H55,"Leadership"),12,IF(EXACT(H55,"Staff"),10,8)),IF(EXACT('MY PROFILE'!C26,"Move to Staff"),IF(EXACT(H55,"Staff"),15,IF(EXACT(H55,"Technical"),10,5)),IF(EXACT('MY PROFILE'!C26,"Pursue AGR Full-Time"),IF(EXACT(J55,"AGR"),15,IF(EXACT(J55,"M-Day"),5,10)),8))))</f>
        <v/>
      </c>
      <c r="Q55">
        <f>IF(EXACT('MY PROFILE'!G6,"M-Day"),IF(EXACT(J55,"M-Day"),5,IF(EXACT(J55,"AGR"),1,3)),IF(EXACT('MY PROFILE'!G6,"AGR"),IF(EXACT(J55,"AGR"),5,IF(EXACT(J55,"M-Day"),2,3)),3))</f>
        <v/>
      </c>
      <c r="R55">
        <f>IFERROR(M55+N55+O55+P55+Q55,0)</f>
        <v/>
      </c>
      <c r="S55">
        <f>IF(R55&gt;=80,"STRONG MATCH",IF(R55&gt;=60,"GOOD MATCH",IF(R55&gt;=40,"MODERATE / STRETCH",IF(R55&gt;=20,"POSSIBLE — GAPS EXIST","NOT RECOMMENDED NOW"))))</f>
        <v/>
      </c>
      <c r="T55">
        <f>IFERROR(SUMPRODUCT(($A$231:$A$313='MY PROFILE'!C10)*($B$231:$B$313=C55)*($C$231:$C$313)),999)</f>
        <v/>
      </c>
    </row>
    <row r="56">
      <c r="A56">
        <f>'ADMIN - POSITIONS'!A56</f>
        <v/>
      </c>
      <c r="B56">
        <f>'ADMIN - POSITIONS'!B56</f>
        <v/>
      </c>
      <c r="C56">
        <f>'ADMIN - POSITIONS'!D56</f>
        <v/>
      </c>
      <c r="D56">
        <f>'ADMIN - POSITIONS'!E56</f>
        <v/>
      </c>
      <c r="E56">
        <f>'ADMIN - POSITIONS'!F56</f>
        <v/>
      </c>
      <c r="F56">
        <f>'ADMIN - POSITIONS'!G56</f>
        <v/>
      </c>
      <c r="G56">
        <f>'ADMIN - POSITIONS'!H56</f>
        <v/>
      </c>
      <c r="H56">
        <f>'ADMIN - POSITIONS'!J56</f>
        <v/>
      </c>
      <c r="I56">
        <f>'ADMIN - POSITIONS'!K56</f>
        <v/>
      </c>
      <c r="J56">
        <f>'ADMIN - POSITIONS'!L56</f>
        <v/>
      </c>
      <c r="K56">
        <f>'ADMIN - POSITIONS'!M56</f>
        <v/>
      </c>
      <c r="L56">
        <f>'ADMIN - POSITIONS'!N56</f>
        <v/>
      </c>
      <c r="M56">
        <f>IF(E56=""," ",IF(EXACT(E56,'MY PROFILE'!E6)=FALSE,0,IF(AND(EXACT(F56,'MY PROFILE'!E6),EXACT(E56,'MY PROFILE'!C25)),35,IF(AND(EXACT(F56,'MY PROFILE'!E6),EXACT(E56,'MY PROFILE'!C6)),25,10))))</f>
        <v/>
      </c>
      <c r="N56">
        <f>IF(G56="","",IF(EXACT(G56,'MY PROFILE'!C7),30,IF(EXACT('MY PROFILE'!G27,"Yes"),10,0)))</f>
        <v/>
      </c>
      <c r="O56">
        <f>IF(T56=999,0,IF('MY PROFILE'!G10="No Limit",15,IF('MY PROFILE'!G10="30 Minutes",IF(T56&lt;=30,15,IF(T56&lt;=60,8,IF(T56&lt;=90,3,0))),IF('MY PROFILE'!G10="1 Hour",IF(T56&lt;=60,15,IF(T56&lt;=90,8,IF(T56&lt;=120,3,0))),IF('MY PROFILE'!G10="1.5 Hours",IF(T56&lt;=90,15,IF(T56&lt;=120,8,IF(T56&lt;=150,3,0))),IF('MY PROFILE'!G10="2 Hours",IF(T56&lt;=120,15,IF(T56&lt;=150,8,IF(T56&lt;=180,3,0))),IF('MY PROFILE'!G10="3 Hours",IF(T56&lt;=180,15,IF(T56&lt;=240,5,0)),15)))))))</f>
        <v/>
      </c>
      <c r="P56">
        <f>IF(EXACT('MY PROFILE'!C26,"Pursue Command"),IF(EXACT(I56,"Yes"),15,5),IF(EXACT('MY PROFILE'!C26,"Promote to Next Grade"),IF(EXACT(H56,"Leadership"),12,IF(EXACT(H56,"Staff"),10,8)),IF(EXACT('MY PROFILE'!C26,"Move to Staff"),IF(EXACT(H56,"Staff"),15,IF(EXACT(H56,"Technical"),10,5)),IF(EXACT('MY PROFILE'!C26,"Pursue AGR Full-Time"),IF(EXACT(J56,"AGR"),15,IF(EXACT(J56,"M-Day"),5,10)),8))))</f>
        <v/>
      </c>
      <c r="Q56">
        <f>IF(EXACT('MY PROFILE'!G6,"M-Day"),IF(EXACT(J56,"M-Day"),5,IF(EXACT(J56,"AGR"),1,3)),IF(EXACT('MY PROFILE'!G6,"AGR"),IF(EXACT(J56,"AGR"),5,IF(EXACT(J56,"M-Day"),2,3)),3))</f>
        <v/>
      </c>
      <c r="R56">
        <f>IFERROR(M56+N56+O56+P56+Q56,0)</f>
        <v/>
      </c>
      <c r="S56">
        <f>IF(R56&gt;=80,"STRONG MATCH",IF(R56&gt;=60,"GOOD MATCH",IF(R56&gt;=40,"MODERATE / STRETCH",IF(R56&gt;=20,"POSSIBLE — GAPS EXIST","NOT RECOMMENDED NOW"))))</f>
        <v/>
      </c>
      <c r="T56">
        <f>IFERROR(SUMPRODUCT(($A$231:$A$313='MY PROFILE'!C10)*($B$231:$B$313=C56)*($C$231:$C$313)),999)</f>
        <v/>
      </c>
    </row>
    <row r="57">
      <c r="A57">
        <f>'ADMIN - POSITIONS'!A57</f>
        <v/>
      </c>
      <c r="B57">
        <f>'ADMIN - POSITIONS'!B57</f>
        <v/>
      </c>
      <c r="C57">
        <f>'ADMIN - POSITIONS'!D57</f>
        <v/>
      </c>
      <c r="D57">
        <f>'ADMIN - POSITIONS'!E57</f>
        <v/>
      </c>
      <c r="E57">
        <f>'ADMIN - POSITIONS'!F57</f>
        <v/>
      </c>
      <c r="F57">
        <f>'ADMIN - POSITIONS'!G57</f>
        <v/>
      </c>
      <c r="G57">
        <f>'ADMIN - POSITIONS'!H57</f>
        <v/>
      </c>
      <c r="H57">
        <f>'ADMIN - POSITIONS'!J57</f>
        <v/>
      </c>
      <c r="I57">
        <f>'ADMIN - POSITIONS'!K57</f>
        <v/>
      </c>
      <c r="J57">
        <f>'ADMIN - POSITIONS'!L57</f>
        <v/>
      </c>
      <c r="K57">
        <f>'ADMIN - POSITIONS'!M57</f>
        <v/>
      </c>
      <c r="L57">
        <f>'ADMIN - POSITIONS'!N57</f>
        <v/>
      </c>
      <c r="M57">
        <f>IF(E57=""," ",IF(EXACT(E57,'MY PROFILE'!E6)=FALSE,0,IF(AND(EXACT(F57,'MY PROFILE'!E6),EXACT(E57,'MY PROFILE'!C25)),35,IF(AND(EXACT(F57,'MY PROFILE'!E6),EXACT(E57,'MY PROFILE'!C6)),25,10))))</f>
        <v/>
      </c>
      <c r="N57">
        <f>IF(G57="","",IF(EXACT(G57,'MY PROFILE'!C7),30,IF(EXACT('MY PROFILE'!G27,"Yes"),10,0)))</f>
        <v/>
      </c>
      <c r="O57">
        <f>IF(T57=999,0,IF('MY PROFILE'!G10="No Limit",15,IF('MY PROFILE'!G10="30 Minutes",IF(T57&lt;=30,15,IF(T57&lt;=60,8,IF(T57&lt;=90,3,0))),IF('MY PROFILE'!G10="1 Hour",IF(T57&lt;=60,15,IF(T57&lt;=90,8,IF(T57&lt;=120,3,0))),IF('MY PROFILE'!G10="1.5 Hours",IF(T57&lt;=90,15,IF(T57&lt;=120,8,IF(T57&lt;=150,3,0))),IF('MY PROFILE'!G10="2 Hours",IF(T57&lt;=120,15,IF(T57&lt;=150,8,IF(T57&lt;=180,3,0))),IF('MY PROFILE'!G10="3 Hours",IF(T57&lt;=180,15,IF(T57&lt;=240,5,0)),15)))))))</f>
        <v/>
      </c>
      <c r="P57">
        <f>IF(EXACT('MY PROFILE'!C26,"Pursue Command"),IF(EXACT(I57,"Yes"),15,5),IF(EXACT('MY PROFILE'!C26,"Promote to Next Grade"),IF(EXACT(H57,"Leadership"),12,IF(EXACT(H57,"Staff"),10,8)),IF(EXACT('MY PROFILE'!C26,"Move to Staff"),IF(EXACT(H57,"Staff"),15,IF(EXACT(H57,"Technical"),10,5)),IF(EXACT('MY PROFILE'!C26,"Pursue AGR Full-Time"),IF(EXACT(J57,"AGR"),15,IF(EXACT(J57,"M-Day"),5,10)),8))))</f>
        <v/>
      </c>
      <c r="Q57">
        <f>IF(EXACT('MY PROFILE'!G6,"M-Day"),IF(EXACT(J57,"M-Day"),5,IF(EXACT(J57,"AGR"),1,3)),IF(EXACT('MY PROFILE'!G6,"AGR"),IF(EXACT(J57,"AGR"),5,IF(EXACT(J57,"M-Day"),2,3)),3))</f>
        <v/>
      </c>
      <c r="R57">
        <f>IFERROR(M57+N57+O57+P57+Q57,0)</f>
        <v/>
      </c>
      <c r="S57">
        <f>IF(R57&gt;=80,"STRONG MATCH",IF(R57&gt;=60,"GOOD MATCH",IF(R57&gt;=40,"MODERATE / STRETCH",IF(R57&gt;=20,"POSSIBLE — GAPS EXIST","NOT RECOMMENDED NOW"))))</f>
        <v/>
      </c>
      <c r="T57">
        <f>IFERROR(SUMPRODUCT(($A$231:$A$313='MY PROFILE'!C10)*($B$231:$B$313=C57)*($C$231:$C$313)),999)</f>
        <v/>
      </c>
    </row>
    <row r="58">
      <c r="A58">
        <f>'ADMIN - POSITIONS'!A58</f>
        <v/>
      </c>
      <c r="B58">
        <f>'ADMIN - POSITIONS'!B58</f>
        <v/>
      </c>
      <c r="C58">
        <f>'ADMIN - POSITIONS'!D58</f>
        <v/>
      </c>
      <c r="D58">
        <f>'ADMIN - POSITIONS'!E58</f>
        <v/>
      </c>
      <c r="E58">
        <f>'ADMIN - POSITIONS'!F58</f>
        <v/>
      </c>
      <c r="F58">
        <f>'ADMIN - POSITIONS'!G58</f>
        <v/>
      </c>
      <c r="G58">
        <f>'ADMIN - POSITIONS'!H58</f>
        <v/>
      </c>
      <c r="H58">
        <f>'ADMIN - POSITIONS'!J58</f>
        <v/>
      </c>
      <c r="I58">
        <f>'ADMIN - POSITIONS'!K58</f>
        <v/>
      </c>
      <c r="J58">
        <f>'ADMIN - POSITIONS'!L58</f>
        <v/>
      </c>
      <c r="K58">
        <f>'ADMIN - POSITIONS'!M58</f>
        <v/>
      </c>
      <c r="L58">
        <f>'ADMIN - POSITIONS'!N58</f>
        <v/>
      </c>
      <c r="M58">
        <f>IF(E58=""," ",IF(EXACT(E58,'MY PROFILE'!E6)=FALSE,0,IF(AND(EXACT(F58,'MY PROFILE'!E6),EXACT(E58,'MY PROFILE'!C25)),35,IF(AND(EXACT(F58,'MY PROFILE'!E6),EXACT(E58,'MY PROFILE'!C6)),25,10))))</f>
        <v/>
      </c>
      <c r="N58">
        <f>IF(G58="","",IF(EXACT(G58,'MY PROFILE'!C7),30,IF(EXACT('MY PROFILE'!G27,"Yes"),10,0)))</f>
        <v/>
      </c>
      <c r="O58">
        <f>IF(T58=999,0,IF('MY PROFILE'!G10="No Limit",15,IF('MY PROFILE'!G10="30 Minutes",IF(T58&lt;=30,15,IF(T58&lt;=60,8,IF(T58&lt;=90,3,0))),IF('MY PROFILE'!G10="1 Hour",IF(T58&lt;=60,15,IF(T58&lt;=90,8,IF(T58&lt;=120,3,0))),IF('MY PROFILE'!G10="1.5 Hours",IF(T58&lt;=90,15,IF(T58&lt;=120,8,IF(T58&lt;=150,3,0))),IF('MY PROFILE'!G10="2 Hours",IF(T58&lt;=120,15,IF(T58&lt;=150,8,IF(T58&lt;=180,3,0))),IF('MY PROFILE'!G10="3 Hours",IF(T58&lt;=180,15,IF(T58&lt;=240,5,0)),15)))))))</f>
        <v/>
      </c>
      <c r="P58">
        <f>IF(EXACT('MY PROFILE'!C26,"Pursue Command"),IF(EXACT(I58,"Yes"),15,5),IF(EXACT('MY PROFILE'!C26,"Promote to Next Grade"),IF(EXACT(H58,"Leadership"),12,IF(EXACT(H58,"Staff"),10,8)),IF(EXACT('MY PROFILE'!C26,"Move to Staff"),IF(EXACT(H58,"Staff"),15,IF(EXACT(H58,"Technical"),10,5)),IF(EXACT('MY PROFILE'!C26,"Pursue AGR Full-Time"),IF(EXACT(J58,"AGR"),15,IF(EXACT(J58,"M-Day"),5,10)),8))))</f>
        <v/>
      </c>
      <c r="Q58">
        <f>IF(EXACT('MY PROFILE'!G6,"M-Day"),IF(EXACT(J58,"M-Day"),5,IF(EXACT(J58,"AGR"),1,3)),IF(EXACT('MY PROFILE'!G6,"AGR"),IF(EXACT(J58,"AGR"),5,IF(EXACT(J58,"M-Day"),2,3)),3))</f>
        <v/>
      </c>
      <c r="R58">
        <f>IFERROR(M58+N58+O58+P58+Q58,0)</f>
        <v/>
      </c>
      <c r="S58">
        <f>IF(R58&gt;=80,"STRONG MATCH",IF(R58&gt;=60,"GOOD MATCH",IF(R58&gt;=40,"MODERATE / STRETCH",IF(R58&gt;=20,"POSSIBLE — GAPS EXIST","NOT RECOMMENDED NOW"))))</f>
        <v/>
      </c>
      <c r="T58">
        <f>IFERROR(SUMPRODUCT(($A$231:$A$313='MY PROFILE'!C10)*($B$231:$B$313=C58)*($C$231:$C$313)),999)</f>
        <v/>
      </c>
    </row>
    <row r="59">
      <c r="A59">
        <f>'ADMIN - POSITIONS'!A59</f>
        <v/>
      </c>
      <c r="B59">
        <f>'ADMIN - POSITIONS'!B59</f>
        <v/>
      </c>
      <c r="C59">
        <f>'ADMIN - POSITIONS'!D59</f>
        <v/>
      </c>
      <c r="D59">
        <f>'ADMIN - POSITIONS'!E59</f>
        <v/>
      </c>
      <c r="E59">
        <f>'ADMIN - POSITIONS'!F59</f>
        <v/>
      </c>
      <c r="F59">
        <f>'ADMIN - POSITIONS'!G59</f>
        <v/>
      </c>
      <c r="G59">
        <f>'ADMIN - POSITIONS'!H59</f>
        <v/>
      </c>
      <c r="H59">
        <f>'ADMIN - POSITIONS'!J59</f>
        <v/>
      </c>
      <c r="I59">
        <f>'ADMIN - POSITIONS'!K59</f>
        <v/>
      </c>
      <c r="J59">
        <f>'ADMIN - POSITIONS'!L59</f>
        <v/>
      </c>
      <c r="K59">
        <f>'ADMIN - POSITIONS'!M59</f>
        <v/>
      </c>
      <c r="L59">
        <f>'ADMIN - POSITIONS'!N59</f>
        <v/>
      </c>
      <c r="M59">
        <f>IF(E59=""," ",IF(EXACT(E59,'MY PROFILE'!E6)=FALSE,0,IF(AND(EXACT(F59,'MY PROFILE'!E6),EXACT(E59,'MY PROFILE'!C25)),35,IF(AND(EXACT(F59,'MY PROFILE'!E6),EXACT(E59,'MY PROFILE'!C6)),25,10))))</f>
        <v/>
      </c>
      <c r="N59">
        <f>IF(G59="","",IF(EXACT(G59,'MY PROFILE'!C7),30,IF(EXACT('MY PROFILE'!G27,"Yes"),10,0)))</f>
        <v/>
      </c>
      <c r="O59">
        <f>IF(T59=999,0,IF('MY PROFILE'!G10="No Limit",15,IF('MY PROFILE'!G10="30 Minutes",IF(T59&lt;=30,15,IF(T59&lt;=60,8,IF(T59&lt;=90,3,0))),IF('MY PROFILE'!G10="1 Hour",IF(T59&lt;=60,15,IF(T59&lt;=90,8,IF(T59&lt;=120,3,0))),IF('MY PROFILE'!G10="1.5 Hours",IF(T59&lt;=90,15,IF(T59&lt;=120,8,IF(T59&lt;=150,3,0))),IF('MY PROFILE'!G10="2 Hours",IF(T59&lt;=120,15,IF(T59&lt;=150,8,IF(T59&lt;=180,3,0))),IF('MY PROFILE'!G10="3 Hours",IF(T59&lt;=180,15,IF(T59&lt;=240,5,0)),15)))))))</f>
        <v/>
      </c>
      <c r="P59">
        <f>IF(EXACT('MY PROFILE'!C26,"Pursue Command"),IF(EXACT(I59,"Yes"),15,5),IF(EXACT('MY PROFILE'!C26,"Promote to Next Grade"),IF(EXACT(H59,"Leadership"),12,IF(EXACT(H59,"Staff"),10,8)),IF(EXACT('MY PROFILE'!C26,"Move to Staff"),IF(EXACT(H59,"Staff"),15,IF(EXACT(H59,"Technical"),10,5)),IF(EXACT('MY PROFILE'!C26,"Pursue AGR Full-Time"),IF(EXACT(J59,"AGR"),15,IF(EXACT(J59,"M-Day"),5,10)),8))))</f>
        <v/>
      </c>
      <c r="Q59">
        <f>IF(EXACT('MY PROFILE'!G6,"M-Day"),IF(EXACT(J59,"M-Day"),5,IF(EXACT(J59,"AGR"),1,3)),IF(EXACT('MY PROFILE'!G6,"AGR"),IF(EXACT(J59,"AGR"),5,IF(EXACT(J59,"M-Day"),2,3)),3))</f>
        <v/>
      </c>
      <c r="R59">
        <f>IFERROR(M59+N59+O59+P59+Q59,0)</f>
        <v/>
      </c>
      <c r="S59">
        <f>IF(R59&gt;=80,"STRONG MATCH",IF(R59&gt;=60,"GOOD MATCH",IF(R59&gt;=40,"MODERATE / STRETCH",IF(R59&gt;=20,"POSSIBLE — GAPS EXIST","NOT RECOMMENDED NOW"))))</f>
        <v/>
      </c>
      <c r="T59">
        <f>IFERROR(SUMPRODUCT(($A$231:$A$313='MY PROFILE'!C10)*($B$231:$B$313=C59)*($C$231:$C$313)),999)</f>
        <v/>
      </c>
    </row>
    <row r="60">
      <c r="A60">
        <f>'ADMIN - POSITIONS'!A60</f>
        <v/>
      </c>
      <c r="B60">
        <f>'ADMIN - POSITIONS'!B60</f>
        <v/>
      </c>
      <c r="C60">
        <f>'ADMIN - POSITIONS'!D60</f>
        <v/>
      </c>
      <c r="D60">
        <f>'ADMIN - POSITIONS'!E60</f>
        <v/>
      </c>
      <c r="E60">
        <f>'ADMIN - POSITIONS'!F60</f>
        <v/>
      </c>
      <c r="F60">
        <f>'ADMIN - POSITIONS'!G60</f>
        <v/>
      </c>
      <c r="G60">
        <f>'ADMIN - POSITIONS'!H60</f>
        <v/>
      </c>
      <c r="H60">
        <f>'ADMIN - POSITIONS'!J60</f>
        <v/>
      </c>
      <c r="I60">
        <f>'ADMIN - POSITIONS'!K60</f>
        <v/>
      </c>
      <c r="J60">
        <f>'ADMIN - POSITIONS'!L60</f>
        <v/>
      </c>
      <c r="K60">
        <f>'ADMIN - POSITIONS'!M60</f>
        <v/>
      </c>
      <c r="L60">
        <f>'ADMIN - POSITIONS'!N60</f>
        <v/>
      </c>
      <c r="M60">
        <f>IF(E60=""," ",IF(EXACT(E60,'MY PROFILE'!E6)=FALSE,0,IF(AND(EXACT(F60,'MY PROFILE'!E6),EXACT(E60,'MY PROFILE'!C25)),35,IF(AND(EXACT(F60,'MY PROFILE'!E6),EXACT(E60,'MY PROFILE'!C6)),25,10))))</f>
        <v/>
      </c>
      <c r="N60">
        <f>IF(G60="","",IF(EXACT(G60,'MY PROFILE'!C7),30,IF(EXACT('MY PROFILE'!G27,"Yes"),10,0)))</f>
        <v/>
      </c>
      <c r="O60">
        <f>IF(T60=999,0,IF('MY PROFILE'!G10="No Limit",15,IF('MY PROFILE'!G10="30 Minutes",IF(T60&lt;=30,15,IF(T60&lt;=60,8,IF(T60&lt;=90,3,0))),IF('MY PROFILE'!G10="1 Hour",IF(T60&lt;=60,15,IF(T60&lt;=90,8,IF(T60&lt;=120,3,0))),IF('MY PROFILE'!G10="1.5 Hours",IF(T60&lt;=90,15,IF(T60&lt;=120,8,IF(T60&lt;=150,3,0))),IF('MY PROFILE'!G10="2 Hours",IF(T60&lt;=120,15,IF(T60&lt;=150,8,IF(T60&lt;=180,3,0))),IF('MY PROFILE'!G10="3 Hours",IF(T60&lt;=180,15,IF(T60&lt;=240,5,0)),15)))))))</f>
        <v/>
      </c>
      <c r="P60">
        <f>IF(EXACT('MY PROFILE'!C26,"Pursue Command"),IF(EXACT(I60,"Yes"),15,5),IF(EXACT('MY PROFILE'!C26,"Promote to Next Grade"),IF(EXACT(H60,"Leadership"),12,IF(EXACT(H60,"Staff"),10,8)),IF(EXACT('MY PROFILE'!C26,"Move to Staff"),IF(EXACT(H60,"Staff"),15,IF(EXACT(H60,"Technical"),10,5)),IF(EXACT('MY PROFILE'!C26,"Pursue AGR Full-Time"),IF(EXACT(J60,"AGR"),15,IF(EXACT(J60,"M-Day"),5,10)),8))))</f>
        <v/>
      </c>
      <c r="Q60">
        <f>IF(EXACT('MY PROFILE'!G6,"M-Day"),IF(EXACT(J60,"M-Day"),5,IF(EXACT(J60,"AGR"),1,3)),IF(EXACT('MY PROFILE'!G6,"AGR"),IF(EXACT(J60,"AGR"),5,IF(EXACT(J60,"M-Day"),2,3)),3))</f>
        <v/>
      </c>
      <c r="R60">
        <f>IFERROR(M60+N60+O60+P60+Q60,0)</f>
        <v/>
      </c>
      <c r="S60">
        <f>IF(R60&gt;=80,"STRONG MATCH",IF(R60&gt;=60,"GOOD MATCH",IF(R60&gt;=40,"MODERATE / STRETCH",IF(R60&gt;=20,"POSSIBLE — GAPS EXIST","NOT RECOMMENDED NOW"))))</f>
        <v/>
      </c>
      <c r="T60">
        <f>IFERROR(SUMPRODUCT(($A$231:$A$313='MY PROFILE'!C10)*($B$231:$B$313=C60)*($C$231:$C$313)),999)</f>
        <v/>
      </c>
    </row>
    <row r="61">
      <c r="A61">
        <f>'ADMIN - POSITIONS'!A61</f>
        <v/>
      </c>
      <c r="B61">
        <f>'ADMIN - POSITIONS'!B61</f>
        <v/>
      </c>
      <c r="C61">
        <f>'ADMIN - POSITIONS'!D61</f>
        <v/>
      </c>
      <c r="D61">
        <f>'ADMIN - POSITIONS'!E61</f>
        <v/>
      </c>
      <c r="E61">
        <f>'ADMIN - POSITIONS'!F61</f>
        <v/>
      </c>
      <c r="F61">
        <f>'ADMIN - POSITIONS'!G61</f>
        <v/>
      </c>
      <c r="G61">
        <f>'ADMIN - POSITIONS'!H61</f>
        <v/>
      </c>
      <c r="H61">
        <f>'ADMIN - POSITIONS'!J61</f>
        <v/>
      </c>
      <c r="I61">
        <f>'ADMIN - POSITIONS'!K61</f>
        <v/>
      </c>
      <c r="J61">
        <f>'ADMIN - POSITIONS'!L61</f>
        <v/>
      </c>
      <c r="K61">
        <f>'ADMIN - POSITIONS'!M61</f>
        <v/>
      </c>
      <c r="L61">
        <f>'ADMIN - POSITIONS'!N61</f>
        <v/>
      </c>
      <c r="M61">
        <f>IF(E61=""," ",IF(EXACT(E61,'MY PROFILE'!E6)=FALSE,0,IF(AND(EXACT(F61,'MY PROFILE'!E6),EXACT(E61,'MY PROFILE'!C25)),35,IF(AND(EXACT(F61,'MY PROFILE'!E6),EXACT(E61,'MY PROFILE'!C6)),25,10))))</f>
        <v/>
      </c>
      <c r="N61">
        <f>IF(G61="","",IF(EXACT(G61,'MY PROFILE'!C7),30,IF(EXACT('MY PROFILE'!G27,"Yes"),10,0)))</f>
        <v/>
      </c>
      <c r="O61">
        <f>IF(T61=999,0,IF('MY PROFILE'!G10="No Limit",15,IF('MY PROFILE'!G10="30 Minutes",IF(T61&lt;=30,15,IF(T61&lt;=60,8,IF(T61&lt;=90,3,0))),IF('MY PROFILE'!G10="1 Hour",IF(T61&lt;=60,15,IF(T61&lt;=90,8,IF(T61&lt;=120,3,0))),IF('MY PROFILE'!G10="1.5 Hours",IF(T61&lt;=90,15,IF(T61&lt;=120,8,IF(T61&lt;=150,3,0))),IF('MY PROFILE'!G10="2 Hours",IF(T61&lt;=120,15,IF(T61&lt;=150,8,IF(T61&lt;=180,3,0))),IF('MY PROFILE'!G10="3 Hours",IF(T61&lt;=180,15,IF(T61&lt;=240,5,0)),15)))))))</f>
        <v/>
      </c>
      <c r="P61">
        <f>IF(EXACT('MY PROFILE'!C26,"Pursue Command"),IF(EXACT(I61,"Yes"),15,5),IF(EXACT('MY PROFILE'!C26,"Promote to Next Grade"),IF(EXACT(H61,"Leadership"),12,IF(EXACT(H61,"Staff"),10,8)),IF(EXACT('MY PROFILE'!C26,"Move to Staff"),IF(EXACT(H61,"Staff"),15,IF(EXACT(H61,"Technical"),10,5)),IF(EXACT('MY PROFILE'!C26,"Pursue AGR Full-Time"),IF(EXACT(J61,"AGR"),15,IF(EXACT(J61,"M-Day"),5,10)),8))))</f>
        <v/>
      </c>
      <c r="Q61">
        <f>IF(EXACT('MY PROFILE'!G6,"M-Day"),IF(EXACT(J61,"M-Day"),5,IF(EXACT(J61,"AGR"),1,3)),IF(EXACT('MY PROFILE'!G6,"AGR"),IF(EXACT(J61,"AGR"),5,IF(EXACT(J61,"M-Day"),2,3)),3))</f>
        <v/>
      </c>
      <c r="R61">
        <f>IFERROR(M61+N61+O61+P61+Q61,0)</f>
        <v/>
      </c>
      <c r="S61">
        <f>IF(R61&gt;=80,"STRONG MATCH",IF(R61&gt;=60,"GOOD MATCH",IF(R61&gt;=40,"MODERATE / STRETCH",IF(R61&gt;=20,"POSSIBLE — GAPS EXIST","NOT RECOMMENDED NOW"))))</f>
        <v/>
      </c>
      <c r="T61">
        <f>IFERROR(SUMPRODUCT(($A$231:$A$313='MY PROFILE'!C10)*($B$231:$B$313=C61)*($C$231:$C$313)),999)</f>
        <v/>
      </c>
    </row>
    <row r="62">
      <c r="A62">
        <f>'ADMIN - POSITIONS'!A62</f>
        <v/>
      </c>
      <c r="B62">
        <f>'ADMIN - POSITIONS'!B62</f>
        <v/>
      </c>
      <c r="C62">
        <f>'ADMIN - POSITIONS'!D62</f>
        <v/>
      </c>
      <c r="D62">
        <f>'ADMIN - POSITIONS'!E62</f>
        <v/>
      </c>
      <c r="E62">
        <f>'ADMIN - POSITIONS'!F62</f>
        <v/>
      </c>
      <c r="F62">
        <f>'ADMIN - POSITIONS'!G62</f>
        <v/>
      </c>
      <c r="G62">
        <f>'ADMIN - POSITIONS'!H62</f>
        <v/>
      </c>
      <c r="H62">
        <f>'ADMIN - POSITIONS'!J62</f>
        <v/>
      </c>
      <c r="I62">
        <f>'ADMIN - POSITIONS'!K62</f>
        <v/>
      </c>
      <c r="J62">
        <f>'ADMIN - POSITIONS'!L62</f>
        <v/>
      </c>
      <c r="K62">
        <f>'ADMIN - POSITIONS'!M62</f>
        <v/>
      </c>
      <c r="L62">
        <f>'ADMIN - POSITIONS'!N62</f>
        <v/>
      </c>
      <c r="M62">
        <f>IF(E62=""," ",IF(EXACT(E62,'MY PROFILE'!E6)=FALSE,0,IF(AND(EXACT(F62,'MY PROFILE'!E6),EXACT(E62,'MY PROFILE'!C25)),35,IF(AND(EXACT(F62,'MY PROFILE'!E6),EXACT(E62,'MY PROFILE'!C6)),25,10))))</f>
        <v/>
      </c>
      <c r="N62">
        <f>IF(G62="","",IF(EXACT(G62,'MY PROFILE'!C7),30,IF(EXACT('MY PROFILE'!G27,"Yes"),10,0)))</f>
        <v/>
      </c>
      <c r="O62">
        <f>IF(T62=999,0,IF('MY PROFILE'!G10="No Limit",15,IF('MY PROFILE'!G10="30 Minutes",IF(T62&lt;=30,15,IF(T62&lt;=60,8,IF(T62&lt;=90,3,0))),IF('MY PROFILE'!G10="1 Hour",IF(T62&lt;=60,15,IF(T62&lt;=90,8,IF(T62&lt;=120,3,0))),IF('MY PROFILE'!G10="1.5 Hours",IF(T62&lt;=90,15,IF(T62&lt;=120,8,IF(T62&lt;=150,3,0))),IF('MY PROFILE'!G10="2 Hours",IF(T62&lt;=120,15,IF(T62&lt;=150,8,IF(T62&lt;=180,3,0))),IF('MY PROFILE'!G10="3 Hours",IF(T62&lt;=180,15,IF(T62&lt;=240,5,0)),15)))))))</f>
        <v/>
      </c>
      <c r="P62">
        <f>IF(EXACT('MY PROFILE'!C26,"Pursue Command"),IF(EXACT(I62,"Yes"),15,5),IF(EXACT('MY PROFILE'!C26,"Promote to Next Grade"),IF(EXACT(H62,"Leadership"),12,IF(EXACT(H62,"Staff"),10,8)),IF(EXACT('MY PROFILE'!C26,"Move to Staff"),IF(EXACT(H62,"Staff"),15,IF(EXACT(H62,"Technical"),10,5)),IF(EXACT('MY PROFILE'!C26,"Pursue AGR Full-Time"),IF(EXACT(J62,"AGR"),15,IF(EXACT(J62,"M-Day"),5,10)),8))))</f>
        <v/>
      </c>
      <c r="Q62">
        <f>IF(EXACT('MY PROFILE'!G6,"M-Day"),IF(EXACT(J62,"M-Day"),5,IF(EXACT(J62,"AGR"),1,3)),IF(EXACT('MY PROFILE'!G6,"AGR"),IF(EXACT(J62,"AGR"),5,IF(EXACT(J62,"M-Day"),2,3)),3))</f>
        <v/>
      </c>
      <c r="R62">
        <f>IFERROR(M62+N62+O62+P62+Q62,0)</f>
        <v/>
      </c>
      <c r="S62">
        <f>IF(R62&gt;=80,"STRONG MATCH",IF(R62&gt;=60,"GOOD MATCH",IF(R62&gt;=40,"MODERATE / STRETCH",IF(R62&gt;=20,"POSSIBLE — GAPS EXIST","NOT RECOMMENDED NOW"))))</f>
        <v/>
      </c>
      <c r="T62">
        <f>IFERROR(SUMPRODUCT(($A$231:$A$313='MY PROFILE'!C10)*($B$231:$B$313=C62)*($C$231:$C$313)),999)</f>
        <v/>
      </c>
    </row>
    <row r="63">
      <c r="A63">
        <f>'ADMIN - POSITIONS'!A63</f>
        <v/>
      </c>
      <c r="B63">
        <f>'ADMIN - POSITIONS'!B63</f>
        <v/>
      </c>
      <c r="C63">
        <f>'ADMIN - POSITIONS'!D63</f>
        <v/>
      </c>
      <c r="D63">
        <f>'ADMIN - POSITIONS'!E63</f>
        <v/>
      </c>
      <c r="E63">
        <f>'ADMIN - POSITIONS'!F63</f>
        <v/>
      </c>
      <c r="F63">
        <f>'ADMIN - POSITIONS'!G63</f>
        <v/>
      </c>
      <c r="G63">
        <f>'ADMIN - POSITIONS'!H63</f>
        <v/>
      </c>
      <c r="H63">
        <f>'ADMIN - POSITIONS'!J63</f>
        <v/>
      </c>
      <c r="I63">
        <f>'ADMIN - POSITIONS'!K63</f>
        <v/>
      </c>
      <c r="J63">
        <f>'ADMIN - POSITIONS'!L63</f>
        <v/>
      </c>
      <c r="K63">
        <f>'ADMIN - POSITIONS'!M63</f>
        <v/>
      </c>
      <c r="L63">
        <f>'ADMIN - POSITIONS'!N63</f>
        <v/>
      </c>
      <c r="M63">
        <f>IF(E63=""," ",IF(EXACT(E63,'MY PROFILE'!E6)=FALSE,0,IF(AND(EXACT(F63,'MY PROFILE'!E6),EXACT(E63,'MY PROFILE'!C25)),35,IF(AND(EXACT(F63,'MY PROFILE'!E6),EXACT(E63,'MY PROFILE'!C6)),25,10))))</f>
        <v/>
      </c>
      <c r="N63">
        <f>IF(G63="","",IF(EXACT(G63,'MY PROFILE'!C7),30,IF(EXACT('MY PROFILE'!G27,"Yes"),10,0)))</f>
        <v/>
      </c>
      <c r="O63">
        <f>IF(T63=999,0,IF('MY PROFILE'!G10="No Limit",15,IF('MY PROFILE'!G10="30 Minutes",IF(T63&lt;=30,15,IF(T63&lt;=60,8,IF(T63&lt;=90,3,0))),IF('MY PROFILE'!G10="1 Hour",IF(T63&lt;=60,15,IF(T63&lt;=90,8,IF(T63&lt;=120,3,0))),IF('MY PROFILE'!G10="1.5 Hours",IF(T63&lt;=90,15,IF(T63&lt;=120,8,IF(T63&lt;=150,3,0))),IF('MY PROFILE'!G10="2 Hours",IF(T63&lt;=120,15,IF(T63&lt;=150,8,IF(T63&lt;=180,3,0))),IF('MY PROFILE'!G10="3 Hours",IF(T63&lt;=180,15,IF(T63&lt;=240,5,0)),15)))))))</f>
        <v/>
      </c>
      <c r="P63">
        <f>IF(EXACT('MY PROFILE'!C26,"Pursue Command"),IF(EXACT(I63,"Yes"),15,5),IF(EXACT('MY PROFILE'!C26,"Promote to Next Grade"),IF(EXACT(H63,"Leadership"),12,IF(EXACT(H63,"Staff"),10,8)),IF(EXACT('MY PROFILE'!C26,"Move to Staff"),IF(EXACT(H63,"Staff"),15,IF(EXACT(H63,"Technical"),10,5)),IF(EXACT('MY PROFILE'!C26,"Pursue AGR Full-Time"),IF(EXACT(J63,"AGR"),15,IF(EXACT(J63,"M-Day"),5,10)),8))))</f>
        <v/>
      </c>
      <c r="Q63">
        <f>IF(EXACT('MY PROFILE'!G6,"M-Day"),IF(EXACT(J63,"M-Day"),5,IF(EXACT(J63,"AGR"),1,3)),IF(EXACT('MY PROFILE'!G6,"AGR"),IF(EXACT(J63,"AGR"),5,IF(EXACT(J63,"M-Day"),2,3)),3))</f>
        <v/>
      </c>
      <c r="R63">
        <f>IFERROR(M63+N63+O63+P63+Q63,0)</f>
        <v/>
      </c>
      <c r="S63">
        <f>IF(R63&gt;=80,"STRONG MATCH",IF(R63&gt;=60,"GOOD MATCH",IF(R63&gt;=40,"MODERATE / STRETCH",IF(R63&gt;=20,"POSSIBLE — GAPS EXIST","NOT RECOMMENDED NOW"))))</f>
        <v/>
      </c>
      <c r="T63">
        <f>IFERROR(SUMPRODUCT(($A$231:$A$313='MY PROFILE'!C10)*($B$231:$B$313=C63)*($C$231:$C$313)),999)</f>
        <v/>
      </c>
    </row>
    <row r="64">
      <c r="A64">
        <f>'ADMIN - POSITIONS'!A64</f>
        <v/>
      </c>
      <c r="B64">
        <f>'ADMIN - POSITIONS'!B64</f>
        <v/>
      </c>
      <c r="C64">
        <f>'ADMIN - POSITIONS'!D64</f>
        <v/>
      </c>
      <c r="D64">
        <f>'ADMIN - POSITIONS'!E64</f>
        <v/>
      </c>
      <c r="E64">
        <f>'ADMIN - POSITIONS'!F64</f>
        <v/>
      </c>
      <c r="F64">
        <f>'ADMIN - POSITIONS'!G64</f>
        <v/>
      </c>
      <c r="G64">
        <f>'ADMIN - POSITIONS'!H64</f>
        <v/>
      </c>
      <c r="H64">
        <f>'ADMIN - POSITIONS'!J64</f>
        <v/>
      </c>
      <c r="I64">
        <f>'ADMIN - POSITIONS'!K64</f>
        <v/>
      </c>
      <c r="J64">
        <f>'ADMIN - POSITIONS'!L64</f>
        <v/>
      </c>
      <c r="K64">
        <f>'ADMIN - POSITIONS'!M64</f>
        <v/>
      </c>
      <c r="L64">
        <f>'ADMIN - POSITIONS'!N64</f>
        <v/>
      </c>
      <c r="M64">
        <f>IF(E64=""," ",IF(EXACT(E64,'MY PROFILE'!E6)=FALSE,0,IF(AND(EXACT(F64,'MY PROFILE'!E6),EXACT(E64,'MY PROFILE'!C25)),35,IF(AND(EXACT(F64,'MY PROFILE'!E6),EXACT(E64,'MY PROFILE'!C6)),25,10))))</f>
        <v/>
      </c>
      <c r="N64">
        <f>IF(G64="","",IF(EXACT(G64,'MY PROFILE'!C7),30,IF(EXACT('MY PROFILE'!G27,"Yes"),10,0)))</f>
        <v/>
      </c>
      <c r="O64">
        <f>IF(T64=999,0,IF('MY PROFILE'!G10="No Limit",15,IF('MY PROFILE'!G10="30 Minutes",IF(T64&lt;=30,15,IF(T64&lt;=60,8,IF(T64&lt;=90,3,0))),IF('MY PROFILE'!G10="1 Hour",IF(T64&lt;=60,15,IF(T64&lt;=90,8,IF(T64&lt;=120,3,0))),IF('MY PROFILE'!G10="1.5 Hours",IF(T64&lt;=90,15,IF(T64&lt;=120,8,IF(T64&lt;=150,3,0))),IF('MY PROFILE'!G10="2 Hours",IF(T64&lt;=120,15,IF(T64&lt;=150,8,IF(T64&lt;=180,3,0))),IF('MY PROFILE'!G10="3 Hours",IF(T64&lt;=180,15,IF(T64&lt;=240,5,0)),15)))))))</f>
        <v/>
      </c>
      <c r="P64">
        <f>IF(EXACT('MY PROFILE'!C26,"Pursue Command"),IF(EXACT(I64,"Yes"),15,5),IF(EXACT('MY PROFILE'!C26,"Promote to Next Grade"),IF(EXACT(H64,"Leadership"),12,IF(EXACT(H64,"Staff"),10,8)),IF(EXACT('MY PROFILE'!C26,"Move to Staff"),IF(EXACT(H64,"Staff"),15,IF(EXACT(H64,"Technical"),10,5)),IF(EXACT('MY PROFILE'!C26,"Pursue AGR Full-Time"),IF(EXACT(J64,"AGR"),15,IF(EXACT(J64,"M-Day"),5,10)),8))))</f>
        <v/>
      </c>
      <c r="Q64">
        <f>IF(EXACT('MY PROFILE'!G6,"M-Day"),IF(EXACT(J64,"M-Day"),5,IF(EXACT(J64,"AGR"),1,3)),IF(EXACT('MY PROFILE'!G6,"AGR"),IF(EXACT(J64,"AGR"),5,IF(EXACT(J64,"M-Day"),2,3)),3))</f>
        <v/>
      </c>
      <c r="R64">
        <f>IFERROR(M64+N64+O64+P64+Q64,0)</f>
        <v/>
      </c>
      <c r="S64">
        <f>IF(R64&gt;=80,"STRONG MATCH",IF(R64&gt;=60,"GOOD MATCH",IF(R64&gt;=40,"MODERATE / STRETCH",IF(R64&gt;=20,"POSSIBLE — GAPS EXIST","NOT RECOMMENDED NOW"))))</f>
        <v/>
      </c>
      <c r="T64">
        <f>IFERROR(SUMPRODUCT(($A$231:$A$313='MY PROFILE'!C10)*($B$231:$B$313=C64)*($C$231:$C$313)),999)</f>
        <v/>
      </c>
    </row>
    <row r="65">
      <c r="A65">
        <f>'ADMIN - POSITIONS'!A65</f>
        <v/>
      </c>
      <c r="B65">
        <f>'ADMIN - POSITIONS'!B65</f>
        <v/>
      </c>
      <c r="C65">
        <f>'ADMIN - POSITIONS'!D65</f>
        <v/>
      </c>
      <c r="D65">
        <f>'ADMIN - POSITIONS'!E65</f>
        <v/>
      </c>
      <c r="E65">
        <f>'ADMIN - POSITIONS'!F65</f>
        <v/>
      </c>
      <c r="F65">
        <f>'ADMIN - POSITIONS'!G65</f>
        <v/>
      </c>
      <c r="G65">
        <f>'ADMIN - POSITIONS'!H65</f>
        <v/>
      </c>
      <c r="H65">
        <f>'ADMIN - POSITIONS'!J65</f>
        <v/>
      </c>
      <c r="I65">
        <f>'ADMIN - POSITIONS'!K65</f>
        <v/>
      </c>
      <c r="J65">
        <f>'ADMIN - POSITIONS'!L65</f>
        <v/>
      </c>
      <c r="K65">
        <f>'ADMIN - POSITIONS'!M65</f>
        <v/>
      </c>
      <c r="L65">
        <f>'ADMIN - POSITIONS'!N65</f>
        <v/>
      </c>
      <c r="M65">
        <f>IF(E65=""," ",IF(EXACT(E65,'MY PROFILE'!E6)=FALSE,0,IF(AND(EXACT(F65,'MY PROFILE'!E6),EXACT(E65,'MY PROFILE'!C25)),35,IF(AND(EXACT(F65,'MY PROFILE'!E6),EXACT(E65,'MY PROFILE'!C6)),25,10))))</f>
        <v/>
      </c>
      <c r="N65">
        <f>IF(G65="","",IF(EXACT(G65,'MY PROFILE'!C7),30,IF(EXACT('MY PROFILE'!G27,"Yes"),10,0)))</f>
        <v/>
      </c>
      <c r="O65">
        <f>IF(T65=999,0,IF('MY PROFILE'!G10="No Limit",15,IF('MY PROFILE'!G10="30 Minutes",IF(T65&lt;=30,15,IF(T65&lt;=60,8,IF(T65&lt;=90,3,0))),IF('MY PROFILE'!G10="1 Hour",IF(T65&lt;=60,15,IF(T65&lt;=90,8,IF(T65&lt;=120,3,0))),IF('MY PROFILE'!G10="1.5 Hours",IF(T65&lt;=90,15,IF(T65&lt;=120,8,IF(T65&lt;=150,3,0))),IF('MY PROFILE'!G10="2 Hours",IF(T65&lt;=120,15,IF(T65&lt;=150,8,IF(T65&lt;=180,3,0))),IF('MY PROFILE'!G10="3 Hours",IF(T65&lt;=180,15,IF(T65&lt;=240,5,0)),15)))))))</f>
        <v/>
      </c>
      <c r="P65">
        <f>IF(EXACT('MY PROFILE'!C26,"Pursue Command"),IF(EXACT(I65,"Yes"),15,5),IF(EXACT('MY PROFILE'!C26,"Promote to Next Grade"),IF(EXACT(H65,"Leadership"),12,IF(EXACT(H65,"Staff"),10,8)),IF(EXACT('MY PROFILE'!C26,"Move to Staff"),IF(EXACT(H65,"Staff"),15,IF(EXACT(H65,"Technical"),10,5)),IF(EXACT('MY PROFILE'!C26,"Pursue AGR Full-Time"),IF(EXACT(J65,"AGR"),15,IF(EXACT(J65,"M-Day"),5,10)),8))))</f>
        <v/>
      </c>
      <c r="Q65">
        <f>IF(EXACT('MY PROFILE'!G6,"M-Day"),IF(EXACT(J65,"M-Day"),5,IF(EXACT(J65,"AGR"),1,3)),IF(EXACT('MY PROFILE'!G6,"AGR"),IF(EXACT(J65,"AGR"),5,IF(EXACT(J65,"M-Day"),2,3)),3))</f>
        <v/>
      </c>
      <c r="R65">
        <f>IFERROR(M65+N65+O65+P65+Q65,0)</f>
        <v/>
      </c>
      <c r="S65">
        <f>IF(R65&gt;=80,"STRONG MATCH",IF(R65&gt;=60,"GOOD MATCH",IF(R65&gt;=40,"MODERATE / STRETCH",IF(R65&gt;=20,"POSSIBLE — GAPS EXIST","NOT RECOMMENDED NOW"))))</f>
        <v/>
      </c>
      <c r="T65">
        <f>IFERROR(SUMPRODUCT(($A$231:$A$313='MY PROFILE'!C10)*($B$231:$B$313=C65)*($C$231:$C$313)),999)</f>
        <v/>
      </c>
    </row>
    <row r="66">
      <c r="A66">
        <f>'ADMIN - POSITIONS'!A66</f>
        <v/>
      </c>
      <c r="B66">
        <f>'ADMIN - POSITIONS'!B66</f>
        <v/>
      </c>
      <c r="C66">
        <f>'ADMIN - POSITIONS'!D66</f>
        <v/>
      </c>
      <c r="D66">
        <f>'ADMIN - POSITIONS'!E66</f>
        <v/>
      </c>
      <c r="E66">
        <f>'ADMIN - POSITIONS'!F66</f>
        <v/>
      </c>
      <c r="F66">
        <f>'ADMIN - POSITIONS'!G66</f>
        <v/>
      </c>
      <c r="G66">
        <f>'ADMIN - POSITIONS'!H66</f>
        <v/>
      </c>
      <c r="H66">
        <f>'ADMIN - POSITIONS'!J66</f>
        <v/>
      </c>
      <c r="I66">
        <f>'ADMIN - POSITIONS'!K66</f>
        <v/>
      </c>
      <c r="J66">
        <f>'ADMIN - POSITIONS'!L66</f>
        <v/>
      </c>
      <c r="K66">
        <f>'ADMIN - POSITIONS'!M66</f>
        <v/>
      </c>
      <c r="L66">
        <f>'ADMIN - POSITIONS'!N66</f>
        <v/>
      </c>
      <c r="M66">
        <f>IF(E66=""," ",IF(EXACT(E66,'MY PROFILE'!E6)=FALSE,0,IF(AND(EXACT(F66,'MY PROFILE'!E6),EXACT(E66,'MY PROFILE'!C25)),35,IF(AND(EXACT(F66,'MY PROFILE'!E6),EXACT(E66,'MY PROFILE'!C6)),25,10))))</f>
        <v/>
      </c>
      <c r="N66">
        <f>IF(G66="","",IF(EXACT(G66,'MY PROFILE'!C7),30,IF(EXACT('MY PROFILE'!G27,"Yes"),10,0)))</f>
        <v/>
      </c>
      <c r="O66">
        <f>IF(T66=999,0,IF('MY PROFILE'!G10="No Limit",15,IF('MY PROFILE'!G10="30 Minutes",IF(T66&lt;=30,15,IF(T66&lt;=60,8,IF(T66&lt;=90,3,0))),IF('MY PROFILE'!G10="1 Hour",IF(T66&lt;=60,15,IF(T66&lt;=90,8,IF(T66&lt;=120,3,0))),IF('MY PROFILE'!G10="1.5 Hours",IF(T66&lt;=90,15,IF(T66&lt;=120,8,IF(T66&lt;=150,3,0))),IF('MY PROFILE'!G10="2 Hours",IF(T66&lt;=120,15,IF(T66&lt;=150,8,IF(T66&lt;=180,3,0))),IF('MY PROFILE'!G10="3 Hours",IF(T66&lt;=180,15,IF(T66&lt;=240,5,0)),15)))))))</f>
        <v/>
      </c>
      <c r="P66">
        <f>IF(EXACT('MY PROFILE'!C26,"Pursue Command"),IF(EXACT(I66,"Yes"),15,5),IF(EXACT('MY PROFILE'!C26,"Promote to Next Grade"),IF(EXACT(H66,"Leadership"),12,IF(EXACT(H66,"Staff"),10,8)),IF(EXACT('MY PROFILE'!C26,"Move to Staff"),IF(EXACT(H66,"Staff"),15,IF(EXACT(H66,"Technical"),10,5)),IF(EXACT('MY PROFILE'!C26,"Pursue AGR Full-Time"),IF(EXACT(J66,"AGR"),15,IF(EXACT(J66,"M-Day"),5,10)),8))))</f>
        <v/>
      </c>
      <c r="Q66">
        <f>IF(EXACT('MY PROFILE'!G6,"M-Day"),IF(EXACT(J66,"M-Day"),5,IF(EXACT(J66,"AGR"),1,3)),IF(EXACT('MY PROFILE'!G6,"AGR"),IF(EXACT(J66,"AGR"),5,IF(EXACT(J66,"M-Day"),2,3)),3))</f>
        <v/>
      </c>
      <c r="R66">
        <f>IFERROR(M66+N66+O66+P66+Q66,0)</f>
        <v/>
      </c>
      <c r="S66">
        <f>IF(R66&gt;=80,"STRONG MATCH",IF(R66&gt;=60,"GOOD MATCH",IF(R66&gt;=40,"MODERATE / STRETCH",IF(R66&gt;=20,"POSSIBLE — GAPS EXIST","NOT RECOMMENDED NOW"))))</f>
        <v/>
      </c>
      <c r="T66">
        <f>IFERROR(SUMPRODUCT(($A$231:$A$313='MY PROFILE'!C10)*($B$231:$B$313=C66)*($C$231:$C$313)),999)</f>
        <v/>
      </c>
    </row>
    <row r="67">
      <c r="A67">
        <f>'ADMIN - POSITIONS'!A67</f>
        <v/>
      </c>
      <c r="B67">
        <f>'ADMIN - POSITIONS'!B67</f>
        <v/>
      </c>
      <c r="C67">
        <f>'ADMIN - POSITIONS'!D67</f>
        <v/>
      </c>
      <c r="D67">
        <f>'ADMIN - POSITIONS'!E67</f>
        <v/>
      </c>
      <c r="E67">
        <f>'ADMIN - POSITIONS'!F67</f>
        <v/>
      </c>
      <c r="F67">
        <f>'ADMIN - POSITIONS'!G67</f>
        <v/>
      </c>
      <c r="G67">
        <f>'ADMIN - POSITIONS'!H67</f>
        <v/>
      </c>
      <c r="H67">
        <f>'ADMIN - POSITIONS'!J67</f>
        <v/>
      </c>
      <c r="I67">
        <f>'ADMIN - POSITIONS'!K67</f>
        <v/>
      </c>
      <c r="J67">
        <f>'ADMIN - POSITIONS'!L67</f>
        <v/>
      </c>
      <c r="K67">
        <f>'ADMIN - POSITIONS'!M67</f>
        <v/>
      </c>
      <c r="L67">
        <f>'ADMIN - POSITIONS'!N67</f>
        <v/>
      </c>
      <c r="M67">
        <f>IF(E67=""," ",IF(EXACT(E67,'MY PROFILE'!E6)=FALSE,0,IF(AND(EXACT(F67,'MY PROFILE'!E6),EXACT(E67,'MY PROFILE'!C25)),35,IF(AND(EXACT(F67,'MY PROFILE'!E6),EXACT(E67,'MY PROFILE'!C6)),25,10))))</f>
        <v/>
      </c>
      <c r="N67">
        <f>IF(G67="","",IF(EXACT(G67,'MY PROFILE'!C7),30,IF(EXACT('MY PROFILE'!G27,"Yes"),10,0)))</f>
        <v/>
      </c>
      <c r="O67">
        <f>IF(T67=999,0,IF('MY PROFILE'!G10="No Limit",15,IF('MY PROFILE'!G10="30 Minutes",IF(T67&lt;=30,15,IF(T67&lt;=60,8,IF(T67&lt;=90,3,0))),IF('MY PROFILE'!G10="1 Hour",IF(T67&lt;=60,15,IF(T67&lt;=90,8,IF(T67&lt;=120,3,0))),IF('MY PROFILE'!G10="1.5 Hours",IF(T67&lt;=90,15,IF(T67&lt;=120,8,IF(T67&lt;=150,3,0))),IF('MY PROFILE'!G10="2 Hours",IF(T67&lt;=120,15,IF(T67&lt;=150,8,IF(T67&lt;=180,3,0))),IF('MY PROFILE'!G10="3 Hours",IF(T67&lt;=180,15,IF(T67&lt;=240,5,0)),15)))))))</f>
        <v/>
      </c>
      <c r="P67">
        <f>IF(EXACT('MY PROFILE'!C26,"Pursue Command"),IF(EXACT(I67,"Yes"),15,5),IF(EXACT('MY PROFILE'!C26,"Promote to Next Grade"),IF(EXACT(H67,"Leadership"),12,IF(EXACT(H67,"Staff"),10,8)),IF(EXACT('MY PROFILE'!C26,"Move to Staff"),IF(EXACT(H67,"Staff"),15,IF(EXACT(H67,"Technical"),10,5)),IF(EXACT('MY PROFILE'!C26,"Pursue AGR Full-Time"),IF(EXACT(J67,"AGR"),15,IF(EXACT(J67,"M-Day"),5,10)),8))))</f>
        <v/>
      </c>
      <c r="Q67">
        <f>IF(EXACT('MY PROFILE'!G6,"M-Day"),IF(EXACT(J67,"M-Day"),5,IF(EXACT(J67,"AGR"),1,3)),IF(EXACT('MY PROFILE'!G6,"AGR"),IF(EXACT(J67,"AGR"),5,IF(EXACT(J67,"M-Day"),2,3)),3))</f>
        <v/>
      </c>
      <c r="R67">
        <f>IFERROR(M67+N67+O67+P67+Q67,0)</f>
        <v/>
      </c>
      <c r="S67">
        <f>IF(R67&gt;=80,"STRONG MATCH",IF(R67&gt;=60,"GOOD MATCH",IF(R67&gt;=40,"MODERATE / STRETCH",IF(R67&gt;=20,"POSSIBLE — GAPS EXIST","NOT RECOMMENDED NOW"))))</f>
        <v/>
      </c>
      <c r="T67">
        <f>IFERROR(SUMPRODUCT(($A$231:$A$313='MY PROFILE'!C10)*($B$231:$B$313=C67)*($C$231:$C$313)),999)</f>
        <v/>
      </c>
    </row>
    <row r="68">
      <c r="A68">
        <f>'ADMIN - POSITIONS'!A68</f>
        <v/>
      </c>
      <c r="B68">
        <f>'ADMIN - POSITIONS'!B68</f>
        <v/>
      </c>
      <c r="C68">
        <f>'ADMIN - POSITIONS'!D68</f>
        <v/>
      </c>
      <c r="D68">
        <f>'ADMIN - POSITIONS'!E68</f>
        <v/>
      </c>
      <c r="E68">
        <f>'ADMIN - POSITIONS'!F68</f>
        <v/>
      </c>
      <c r="F68">
        <f>'ADMIN - POSITIONS'!G68</f>
        <v/>
      </c>
      <c r="G68">
        <f>'ADMIN - POSITIONS'!H68</f>
        <v/>
      </c>
      <c r="H68">
        <f>'ADMIN - POSITIONS'!J68</f>
        <v/>
      </c>
      <c r="I68">
        <f>'ADMIN - POSITIONS'!K68</f>
        <v/>
      </c>
      <c r="J68">
        <f>'ADMIN - POSITIONS'!L68</f>
        <v/>
      </c>
      <c r="K68">
        <f>'ADMIN - POSITIONS'!M68</f>
        <v/>
      </c>
      <c r="L68">
        <f>'ADMIN - POSITIONS'!N68</f>
        <v/>
      </c>
      <c r="M68">
        <f>IF(E68=""," ",IF(EXACT(E68,'MY PROFILE'!E6)=FALSE,0,IF(AND(EXACT(F68,'MY PROFILE'!E6),EXACT(E68,'MY PROFILE'!C25)),35,IF(AND(EXACT(F68,'MY PROFILE'!E6),EXACT(E68,'MY PROFILE'!C6)),25,10))))</f>
        <v/>
      </c>
      <c r="N68">
        <f>IF(G68="","",IF(EXACT(G68,'MY PROFILE'!C7),30,IF(EXACT('MY PROFILE'!G27,"Yes"),10,0)))</f>
        <v/>
      </c>
      <c r="O68">
        <f>IF(T68=999,0,IF('MY PROFILE'!G10="No Limit",15,IF('MY PROFILE'!G10="30 Minutes",IF(T68&lt;=30,15,IF(T68&lt;=60,8,IF(T68&lt;=90,3,0))),IF('MY PROFILE'!G10="1 Hour",IF(T68&lt;=60,15,IF(T68&lt;=90,8,IF(T68&lt;=120,3,0))),IF('MY PROFILE'!G10="1.5 Hours",IF(T68&lt;=90,15,IF(T68&lt;=120,8,IF(T68&lt;=150,3,0))),IF('MY PROFILE'!G10="2 Hours",IF(T68&lt;=120,15,IF(T68&lt;=150,8,IF(T68&lt;=180,3,0))),IF('MY PROFILE'!G10="3 Hours",IF(T68&lt;=180,15,IF(T68&lt;=240,5,0)),15)))))))</f>
        <v/>
      </c>
      <c r="P68">
        <f>IF(EXACT('MY PROFILE'!C26,"Pursue Command"),IF(EXACT(I68,"Yes"),15,5),IF(EXACT('MY PROFILE'!C26,"Promote to Next Grade"),IF(EXACT(H68,"Leadership"),12,IF(EXACT(H68,"Staff"),10,8)),IF(EXACT('MY PROFILE'!C26,"Move to Staff"),IF(EXACT(H68,"Staff"),15,IF(EXACT(H68,"Technical"),10,5)),IF(EXACT('MY PROFILE'!C26,"Pursue AGR Full-Time"),IF(EXACT(J68,"AGR"),15,IF(EXACT(J68,"M-Day"),5,10)),8))))</f>
        <v/>
      </c>
      <c r="Q68">
        <f>IF(EXACT('MY PROFILE'!G6,"M-Day"),IF(EXACT(J68,"M-Day"),5,IF(EXACT(J68,"AGR"),1,3)),IF(EXACT('MY PROFILE'!G6,"AGR"),IF(EXACT(J68,"AGR"),5,IF(EXACT(J68,"M-Day"),2,3)),3))</f>
        <v/>
      </c>
      <c r="R68">
        <f>IFERROR(M68+N68+O68+P68+Q68,0)</f>
        <v/>
      </c>
      <c r="S68">
        <f>IF(R68&gt;=80,"STRONG MATCH",IF(R68&gt;=60,"GOOD MATCH",IF(R68&gt;=40,"MODERATE / STRETCH",IF(R68&gt;=20,"POSSIBLE — GAPS EXIST","NOT RECOMMENDED NOW"))))</f>
        <v/>
      </c>
      <c r="T68">
        <f>IFERROR(SUMPRODUCT(($A$231:$A$313='MY PROFILE'!C10)*($B$231:$B$313=C68)*($C$231:$C$313)),999)</f>
        <v/>
      </c>
    </row>
    <row r="69">
      <c r="A69">
        <f>'ADMIN - POSITIONS'!A69</f>
        <v/>
      </c>
      <c r="B69">
        <f>'ADMIN - POSITIONS'!B69</f>
        <v/>
      </c>
      <c r="C69">
        <f>'ADMIN - POSITIONS'!D69</f>
        <v/>
      </c>
      <c r="D69">
        <f>'ADMIN - POSITIONS'!E69</f>
        <v/>
      </c>
      <c r="E69">
        <f>'ADMIN - POSITIONS'!F69</f>
        <v/>
      </c>
      <c r="F69">
        <f>'ADMIN - POSITIONS'!G69</f>
        <v/>
      </c>
      <c r="G69">
        <f>'ADMIN - POSITIONS'!H69</f>
        <v/>
      </c>
      <c r="H69">
        <f>'ADMIN - POSITIONS'!J69</f>
        <v/>
      </c>
      <c r="I69">
        <f>'ADMIN - POSITIONS'!K69</f>
        <v/>
      </c>
      <c r="J69">
        <f>'ADMIN - POSITIONS'!L69</f>
        <v/>
      </c>
      <c r="K69">
        <f>'ADMIN - POSITIONS'!M69</f>
        <v/>
      </c>
      <c r="L69">
        <f>'ADMIN - POSITIONS'!N69</f>
        <v/>
      </c>
      <c r="M69">
        <f>IF(E69=""," ",IF(EXACT(E69,'MY PROFILE'!E6)=FALSE,0,IF(AND(EXACT(F69,'MY PROFILE'!E6),EXACT(E69,'MY PROFILE'!C25)),35,IF(AND(EXACT(F69,'MY PROFILE'!E6),EXACT(E69,'MY PROFILE'!C6)),25,10))))</f>
        <v/>
      </c>
      <c r="N69">
        <f>IF(G69="","",IF(EXACT(G69,'MY PROFILE'!C7),30,IF(EXACT('MY PROFILE'!G27,"Yes"),10,0)))</f>
        <v/>
      </c>
      <c r="O69">
        <f>IF(T69=999,0,IF('MY PROFILE'!G10="No Limit",15,IF('MY PROFILE'!G10="30 Minutes",IF(T69&lt;=30,15,IF(T69&lt;=60,8,IF(T69&lt;=90,3,0))),IF('MY PROFILE'!G10="1 Hour",IF(T69&lt;=60,15,IF(T69&lt;=90,8,IF(T69&lt;=120,3,0))),IF('MY PROFILE'!G10="1.5 Hours",IF(T69&lt;=90,15,IF(T69&lt;=120,8,IF(T69&lt;=150,3,0))),IF('MY PROFILE'!G10="2 Hours",IF(T69&lt;=120,15,IF(T69&lt;=150,8,IF(T69&lt;=180,3,0))),IF('MY PROFILE'!G10="3 Hours",IF(T69&lt;=180,15,IF(T69&lt;=240,5,0)),15)))))))</f>
        <v/>
      </c>
      <c r="P69">
        <f>IF(EXACT('MY PROFILE'!C26,"Pursue Command"),IF(EXACT(I69,"Yes"),15,5),IF(EXACT('MY PROFILE'!C26,"Promote to Next Grade"),IF(EXACT(H69,"Leadership"),12,IF(EXACT(H69,"Staff"),10,8)),IF(EXACT('MY PROFILE'!C26,"Move to Staff"),IF(EXACT(H69,"Staff"),15,IF(EXACT(H69,"Technical"),10,5)),IF(EXACT('MY PROFILE'!C26,"Pursue AGR Full-Time"),IF(EXACT(J69,"AGR"),15,IF(EXACT(J69,"M-Day"),5,10)),8))))</f>
        <v/>
      </c>
      <c r="Q69">
        <f>IF(EXACT('MY PROFILE'!G6,"M-Day"),IF(EXACT(J69,"M-Day"),5,IF(EXACT(J69,"AGR"),1,3)),IF(EXACT('MY PROFILE'!G6,"AGR"),IF(EXACT(J69,"AGR"),5,IF(EXACT(J69,"M-Day"),2,3)),3))</f>
        <v/>
      </c>
      <c r="R69">
        <f>IFERROR(M69+N69+O69+P69+Q69,0)</f>
        <v/>
      </c>
      <c r="S69">
        <f>IF(R69&gt;=80,"STRONG MATCH",IF(R69&gt;=60,"GOOD MATCH",IF(R69&gt;=40,"MODERATE / STRETCH",IF(R69&gt;=20,"POSSIBLE — GAPS EXIST","NOT RECOMMENDED NOW"))))</f>
        <v/>
      </c>
      <c r="T69">
        <f>IFERROR(SUMPRODUCT(($A$231:$A$313='MY PROFILE'!C10)*($B$231:$B$313=C69)*($C$231:$C$313)),999)</f>
        <v/>
      </c>
    </row>
    <row r="70">
      <c r="A70">
        <f>'ADMIN - POSITIONS'!A70</f>
        <v/>
      </c>
      <c r="B70">
        <f>'ADMIN - POSITIONS'!B70</f>
        <v/>
      </c>
      <c r="C70">
        <f>'ADMIN - POSITIONS'!D70</f>
        <v/>
      </c>
      <c r="D70">
        <f>'ADMIN - POSITIONS'!E70</f>
        <v/>
      </c>
      <c r="E70">
        <f>'ADMIN - POSITIONS'!F70</f>
        <v/>
      </c>
      <c r="F70">
        <f>'ADMIN - POSITIONS'!G70</f>
        <v/>
      </c>
      <c r="G70">
        <f>'ADMIN - POSITIONS'!H70</f>
        <v/>
      </c>
      <c r="H70">
        <f>'ADMIN - POSITIONS'!J70</f>
        <v/>
      </c>
      <c r="I70">
        <f>'ADMIN - POSITIONS'!K70</f>
        <v/>
      </c>
      <c r="J70">
        <f>'ADMIN - POSITIONS'!L70</f>
        <v/>
      </c>
      <c r="K70">
        <f>'ADMIN - POSITIONS'!M70</f>
        <v/>
      </c>
      <c r="L70">
        <f>'ADMIN - POSITIONS'!N70</f>
        <v/>
      </c>
      <c r="M70">
        <f>IF(E70=""," ",IF(EXACT(E70,'MY PROFILE'!E6)=FALSE,0,IF(AND(EXACT(F70,'MY PROFILE'!E6),EXACT(E70,'MY PROFILE'!C25)),35,IF(AND(EXACT(F70,'MY PROFILE'!E6),EXACT(E70,'MY PROFILE'!C6)),25,10))))</f>
        <v/>
      </c>
      <c r="N70">
        <f>IF(G70="","",IF(EXACT(G70,'MY PROFILE'!C7),30,IF(EXACT('MY PROFILE'!G27,"Yes"),10,0)))</f>
        <v/>
      </c>
      <c r="O70">
        <f>IF(T70=999,0,IF('MY PROFILE'!G10="No Limit",15,IF('MY PROFILE'!G10="30 Minutes",IF(T70&lt;=30,15,IF(T70&lt;=60,8,IF(T70&lt;=90,3,0))),IF('MY PROFILE'!G10="1 Hour",IF(T70&lt;=60,15,IF(T70&lt;=90,8,IF(T70&lt;=120,3,0))),IF('MY PROFILE'!G10="1.5 Hours",IF(T70&lt;=90,15,IF(T70&lt;=120,8,IF(T70&lt;=150,3,0))),IF('MY PROFILE'!G10="2 Hours",IF(T70&lt;=120,15,IF(T70&lt;=150,8,IF(T70&lt;=180,3,0))),IF('MY PROFILE'!G10="3 Hours",IF(T70&lt;=180,15,IF(T70&lt;=240,5,0)),15)))))))</f>
        <v/>
      </c>
      <c r="P70">
        <f>IF(EXACT('MY PROFILE'!C26,"Pursue Command"),IF(EXACT(I70,"Yes"),15,5),IF(EXACT('MY PROFILE'!C26,"Promote to Next Grade"),IF(EXACT(H70,"Leadership"),12,IF(EXACT(H70,"Staff"),10,8)),IF(EXACT('MY PROFILE'!C26,"Move to Staff"),IF(EXACT(H70,"Staff"),15,IF(EXACT(H70,"Technical"),10,5)),IF(EXACT('MY PROFILE'!C26,"Pursue AGR Full-Time"),IF(EXACT(J70,"AGR"),15,IF(EXACT(J70,"M-Day"),5,10)),8))))</f>
        <v/>
      </c>
      <c r="Q70">
        <f>IF(EXACT('MY PROFILE'!G6,"M-Day"),IF(EXACT(J70,"M-Day"),5,IF(EXACT(J70,"AGR"),1,3)),IF(EXACT('MY PROFILE'!G6,"AGR"),IF(EXACT(J70,"AGR"),5,IF(EXACT(J70,"M-Day"),2,3)),3))</f>
        <v/>
      </c>
      <c r="R70">
        <f>IFERROR(M70+N70+O70+P70+Q70,0)</f>
        <v/>
      </c>
      <c r="S70">
        <f>IF(R70&gt;=80,"STRONG MATCH",IF(R70&gt;=60,"GOOD MATCH",IF(R70&gt;=40,"MODERATE / STRETCH",IF(R70&gt;=20,"POSSIBLE — GAPS EXIST","NOT RECOMMENDED NOW"))))</f>
        <v/>
      </c>
      <c r="T70">
        <f>IFERROR(SUMPRODUCT(($A$231:$A$313='MY PROFILE'!C10)*($B$231:$B$313=C70)*($C$231:$C$313)),999)</f>
        <v/>
      </c>
    </row>
    <row r="71">
      <c r="A71">
        <f>'ADMIN - POSITIONS'!A71</f>
        <v/>
      </c>
      <c r="B71">
        <f>'ADMIN - POSITIONS'!B71</f>
        <v/>
      </c>
      <c r="C71">
        <f>'ADMIN - POSITIONS'!D71</f>
        <v/>
      </c>
      <c r="D71">
        <f>'ADMIN - POSITIONS'!E71</f>
        <v/>
      </c>
      <c r="E71">
        <f>'ADMIN - POSITIONS'!F71</f>
        <v/>
      </c>
      <c r="F71">
        <f>'ADMIN - POSITIONS'!G71</f>
        <v/>
      </c>
      <c r="G71">
        <f>'ADMIN - POSITIONS'!H71</f>
        <v/>
      </c>
      <c r="H71">
        <f>'ADMIN - POSITIONS'!J71</f>
        <v/>
      </c>
      <c r="I71">
        <f>'ADMIN - POSITIONS'!K71</f>
        <v/>
      </c>
      <c r="J71">
        <f>'ADMIN - POSITIONS'!L71</f>
        <v/>
      </c>
      <c r="K71">
        <f>'ADMIN - POSITIONS'!M71</f>
        <v/>
      </c>
      <c r="L71">
        <f>'ADMIN - POSITIONS'!N71</f>
        <v/>
      </c>
      <c r="M71">
        <f>IF(E71=""," ",IF(EXACT(E71,'MY PROFILE'!E6)=FALSE,0,IF(AND(EXACT(F71,'MY PROFILE'!E6),EXACT(E71,'MY PROFILE'!C25)),35,IF(AND(EXACT(F71,'MY PROFILE'!E6),EXACT(E71,'MY PROFILE'!C6)),25,10))))</f>
        <v/>
      </c>
      <c r="N71">
        <f>IF(G71="","",IF(EXACT(G71,'MY PROFILE'!C7),30,IF(EXACT('MY PROFILE'!G27,"Yes"),10,0)))</f>
        <v/>
      </c>
      <c r="O71">
        <f>IF(T71=999,0,IF('MY PROFILE'!G10="No Limit",15,IF('MY PROFILE'!G10="30 Minutes",IF(T71&lt;=30,15,IF(T71&lt;=60,8,IF(T71&lt;=90,3,0))),IF('MY PROFILE'!G10="1 Hour",IF(T71&lt;=60,15,IF(T71&lt;=90,8,IF(T71&lt;=120,3,0))),IF('MY PROFILE'!G10="1.5 Hours",IF(T71&lt;=90,15,IF(T71&lt;=120,8,IF(T71&lt;=150,3,0))),IF('MY PROFILE'!G10="2 Hours",IF(T71&lt;=120,15,IF(T71&lt;=150,8,IF(T71&lt;=180,3,0))),IF('MY PROFILE'!G10="3 Hours",IF(T71&lt;=180,15,IF(T71&lt;=240,5,0)),15)))))))</f>
        <v/>
      </c>
      <c r="P71">
        <f>IF(EXACT('MY PROFILE'!C26,"Pursue Command"),IF(EXACT(I71,"Yes"),15,5),IF(EXACT('MY PROFILE'!C26,"Promote to Next Grade"),IF(EXACT(H71,"Leadership"),12,IF(EXACT(H71,"Staff"),10,8)),IF(EXACT('MY PROFILE'!C26,"Move to Staff"),IF(EXACT(H71,"Staff"),15,IF(EXACT(H71,"Technical"),10,5)),IF(EXACT('MY PROFILE'!C26,"Pursue AGR Full-Time"),IF(EXACT(J71,"AGR"),15,IF(EXACT(J71,"M-Day"),5,10)),8))))</f>
        <v/>
      </c>
      <c r="Q71">
        <f>IF(EXACT('MY PROFILE'!G6,"M-Day"),IF(EXACT(J71,"M-Day"),5,IF(EXACT(J71,"AGR"),1,3)),IF(EXACT('MY PROFILE'!G6,"AGR"),IF(EXACT(J71,"AGR"),5,IF(EXACT(J71,"M-Day"),2,3)),3))</f>
        <v/>
      </c>
      <c r="R71">
        <f>IFERROR(M71+N71+O71+P71+Q71,0)</f>
        <v/>
      </c>
      <c r="S71">
        <f>IF(R71&gt;=80,"STRONG MATCH",IF(R71&gt;=60,"GOOD MATCH",IF(R71&gt;=40,"MODERATE / STRETCH",IF(R71&gt;=20,"POSSIBLE — GAPS EXIST","NOT RECOMMENDED NOW"))))</f>
        <v/>
      </c>
      <c r="T71">
        <f>IFERROR(SUMPRODUCT(($A$231:$A$313='MY PROFILE'!C10)*($B$231:$B$313=C71)*($C$231:$C$313)),999)</f>
        <v/>
      </c>
    </row>
    <row r="72">
      <c r="A72">
        <f>'ADMIN - POSITIONS'!A72</f>
        <v/>
      </c>
      <c r="B72">
        <f>'ADMIN - POSITIONS'!B72</f>
        <v/>
      </c>
      <c r="C72">
        <f>'ADMIN - POSITIONS'!D72</f>
        <v/>
      </c>
      <c r="D72">
        <f>'ADMIN - POSITIONS'!E72</f>
        <v/>
      </c>
      <c r="E72">
        <f>'ADMIN - POSITIONS'!F72</f>
        <v/>
      </c>
      <c r="F72">
        <f>'ADMIN - POSITIONS'!G72</f>
        <v/>
      </c>
      <c r="G72">
        <f>'ADMIN - POSITIONS'!H72</f>
        <v/>
      </c>
      <c r="H72">
        <f>'ADMIN - POSITIONS'!J72</f>
        <v/>
      </c>
      <c r="I72">
        <f>'ADMIN - POSITIONS'!K72</f>
        <v/>
      </c>
      <c r="J72">
        <f>'ADMIN - POSITIONS'!L72</f>
        <v/>
      </c>
      <c r="K72">
        <f>'ADMIN - POSITIONS'!M72</f>
        <v/>
      </c>
      <c r="L72">
        <f>'ADMIN - POSITIONS'!N72</f>
        <v/>
      </c>
      <c r="M72">
        <f>IF(E72=""," ",IF(EXACT(E72,'MY PROFILE'!E6)=FALSE,0,IF(AND(EXACT(F72,'MY PROFILE'!E6),EXACT(E72,'MY PROFILE'!C25)),35,IF(AND(EXACT(F72,'MY PROFILE'!E6),EXACT(E72,'MY PROFILE'!C6)),25,10))))</f>
        <v/>
      </c>
      <c r="N72">
        <f>IF(G72="","",IF(EXACT(G72,'MY PROFILE'!C7),30,IF(EXACT('MY PROFILE'!G27,"Yes"),10,0)))</f>
        <v/>
      </c>
      <c r="O72">
        <f>IF(T72=999,0,IF('MY PROFILE'!G10="No Limit",15,IF('MY PROFILE'!G10="30 Minutes",IF(T72&lt;=30,15,IF(T72&lt;=60,8,IF(T72&lt;=90,3,0))),IF('MY PROFILE'!G10="1 Hour",IF(T72&lt;=60,15,IF(T72&lt;=90,8,IF(T72&lt;=120,3,0))),IF('MY PROFILE'!G10="1.5 Hours",IF(T72&lt;=90,15,IF(T72&lt;=120,8,IF(T72&lt;=150,3,0))),IF('MY PROFILE'!G10="2 Hours",IF(T72&lt;=120,15,IF(T72&lt;=150,8,IF(T72&lt;=180,3,0))),IF('MY PROFILE'!G10="3 Hours",IF(T72&lt;=180,15,IF(T72&lt;=240,5,0)),15)))))))</f>
        <v/>
      </c>
      <c r="P72">
        <f>IF(EXACT('MY PROFILE'!C26,"Pursue Command"),IF(EXACT(I72,"Yes"),15,5),IF(EXACT('MY PROFILE'!C26,"Promote to Next Grade"),IF(EXACT(H72,"Leadership"),12,IF(EXACT(H72,"Staff"),10,8)),IF(EXACT('MY PROFILE'!C26,"Move to Staff"),IF(EXACT(H72,"Staff"),15,IF(EXACT(H72,"Technical"),10,5)),IF(EXACT('MY PROFILE'!C26,"Pursue AGR Full-Time"),IF(EXACT(J72,"AGR"),15,IF(EXACT(J72,"M-Day"),5,10)),8))))</f>
        <v/>
      </c>
      <c r="Q72">
        <f>IF(EXACT('MY PROFILE'!G6,"M-Day"),IF(EXACT(J72,"M-Day"),5,IF(EXACT(J72,"AGR"),1,3)),IF(EXACT('MY PROFILE'!G6,"AGR"),IF(EXACT(J72,"AGR"),5,IF(EXACT(J72,"M-Day"),2,3)),3))</f>
        <v/>
      </c>
      <c r="R72">
        <f>IFERROR(M72+N72+O72+P72+Q72,0)</f>
        <v/>
      </c>
      <c r="S72">
        <f>IF(R72&gt;=80,"STRONG MATCH",IF(R72&gt;=60,"GOOD MATCH",IF(R72&gt;=40,"MODERATE / STRETCH",IF(R72&gt;=20,"POSSIBLE — GAPS EXIST","NOT RECOMMENDED NOW"))))</f>
        <v/>
      </c>
      <c r="T72">
        <f>IFERROR(SUMPRODUCT(($A$231:$A$313='MY PROFILE'!C10)*($B$231:$B$313=C72)*($C$231:$C$313)),999)</f>
        <v/>
      </c>
    </row>
    <row r="73">
      <c r="A73">
        <f>'ADMIN - POSITIONS'!A73</f>
        <v/>
      </c>
      <c r="B73">
        <f>'ADMIN - POSITIONS'!B73</f>
        <v/>
      </c>
      <c r="C73">
        <f>'ADMIN - POSITIONS'!D73</f>
        <v/>
      </c>
      <c r="D73">
        <f>'ADMIN - POSITIONS'!E73</f>
        <v/>
      </c>
      <c r="E73">
        <f>'ADMIN - POSITIONS'!F73</f>
        <v/>
      </c>
      <c r="F73">
        <f>'ADMIN - POSITIONS'!G73</f>
        <v/>
      </c>
      <c r="G73">
        <f>'ADMIN - POSITIONS'!H73</f>
        <v/>
      </c>
      <c r="H73">
        <f>'ADMIN - POSITIONS'!J73</f>
        <v/>
      </c>
      <c r="I73">
        <f>'ADMIN - POSITIONS'!K73</f>
        <v/>
      </c>
      <c r="J73">
        <f>'ADMIN - POSITIONS'!L73</f>
        <v/>
      </c>
      <c r="K73">
        <f>'ADMIN - POSITIONS'!M73</f>
        <v/>
      </c>
      <c r="L73">
        <f>'ADMIN - POSITIONS'!N73</f>
        <v/>
      </c>
      <c r="M73">
        <f>IF(E73=""," ",IF(EXACT(E73,'MY PROFILE'!E6)=FALSE,0,IF(AND(EXACT(F73,'MY PROFILE'!E6),EXACT(E73,'MY PROFILE'!C25)),35,IF(AND(EXACT(F73,'MY PROFILE'!E6),EXACT(E73,'MY PROFILE'!C6)),25,10))))</f>
        <v/>
      </c>
      <c r="N73">
        <f>IF(G73="","",IF(EXACT(G73,'MY PROFILE'!C7),30,IF(EXACT('MY PROFILE'!G27,"Yes"),10,0)))</f>
        <v/>
      </c>
      <c r="O73">
        <f>IF(T73=999,0,IF('MY PROFILE'!G10="No Limit",15,IF('MY PROFILE'!G10="30 Minutes",IF(T73&lt;=30,15,IF(T73&lt;=60,8,IF(T73&lt;=90,3,0))),IF('MY PROFILE'!G10="1 Hour",IF(T73&lt;=60,15,IF(T73&lt;=90,8,IF(T73&lt;=120,3,0))),IF('MY PROFILE'!G10="1.5 Hours",IF(T73&lt;=90,15,IF(T73&lt;=120,8,IF(T73&lt;=150,3,0))),IF('MY PROFILE'!G10="2 Hours",IF(T73&lt;=120,15,IF(T73&lt;=150,8,IF(T73&lt;=180,3,0))),IF('MY PROFILE'!G10="3 Hours",IF(T73&lt;=180,15,IF(T73&lt;=240,5,0)),15)))))))</f>
        <v/>
      </c>
      <c r="P73">
        <f>IF(EXACT('MY PROFILE'!C26,"Pursue Command"),IF(EXACT(I73,"Yes"),15,5),IF(EXACT('MY PROFILE'!C26,"Promote to Next Grade"),IF(EXACT(H73,"Leadership"),12,IF(EXACT(H73,"Staff"),10,8)),IF(EXACT('MY PROFILE'!C26,"Move to Staff"),IF(EXACT(H73,"Staff"),15,IF(EXACT(H73,"Technical"),10,5)),IF(EXACT('MY PROFILE'!C26,"Pursue AGR Full-Time"),IF(EXACT(J73,"AGR"),15,IF(EXACT(J73,"M-Day"),5,10)),8))))</f>
        <v/>
      </c>
      <c r="Q73">
        <f>IF(EXACT('MY PROFILE'!G6,"M-Day"),IF(EXACT(J73,"M-Day"),5,IF(EXACT(J73,"AGR"),1,3)),IF(EXACT('MY PROFILE'!G6,"AGR"),IF(EXACT(J73,"AGR"),5,IF(EXACT(J73,"M-Day"),2,3)),3))</f>
        <v/>
      </c>
      <c r="R73">
        <f>IFERROR(M73+N73+O73+P73+Q73,0)</f>
        <v/>
      </c>
      <c r="S73">
        <f>IF(R73&gt;=80,"STRONG MATCH",IF(R73&gt;=60,"GOOD MATCH",IF(R73&gt;=40,"MODERATE / STRETCH",IF(R73&gt;=20,"POSSIBLE — GAPS EXIST","NOT RECOMMENDED NOW"))))</f>
        <v/>
      </c>
      <c r="T73">
        <f>IFERROR(SUMPRODUCT(($A$231:$A$313='MY PROFILE'!C10)*($B$231:$B$313=C73)*($C$231:$C$313)),999)</f>
        <v/>
      </c>
    </row>
    <row r="74">
      <c r="A74">
        <f>'ADMIN - POSITIONS'!A74</f>
        <v/>
      </c>
      <c r="B74">
        <f>'ADMIN - POSITIONS'!B74</f>
        <v/>
      </c>
      <c r="C74">
        <f>'ADMIN - POSITIONS'!D74</f>
        <v/>
      </c>
      <c r="D74">
        <f>'ADMIN - POSITIONS'!E74</f>
        <v/>
      </c>
      <c r="E74">
        <f>'ADMIN - POSITIONS'!F74</f>
        <v/>
      </c>
      <c r="F74">
        <f>'ADMIN - POSITIONS'!G74</f>
        <v/>
      </c>
      <c r="G74">
        <f>'ADMIN - POSITIONS'!H74</f>
        <v/>
      </c>
      <c r="H74">
        <f>'ADMIN - POSITIONS'!J74</f>
        <v/>
      </c>
      <c r="I74">
        <f>'ADMIN - POSITIONS'!K74</f>
        <v/>
      </c>
      <c r="J74">
        <f>'ADMIN - POSITIONS'!L74</f>
        <v/>
      </c>
      <c r="K74">
        <f>'ADMIN - POSITIONS'!M74</f>
        <v/>
      </c>
      <c r="L74">
        <f>'ADMIN - POSITIONS'!N74</f>
        <v/>
      </c>
      <c r="M74">
        <f>IF(E74=""," ",IF(EXACT(E74,'MY PROFILE'!E6)=FALSE,0,IF(AND(EXACT(F74,'MY PROFILE'!E6),EXACT(E74,'MY PROFILE'!C25)),35,IF(AND(EXACT(F74,'MY PROFILE'!E6),EXACT(E74,'MY PROFILE'!C6)),25,10))))</f>
        <v/>
      </c>
      <c r="N74">
        <f>IF(G74="","",IF(EXACT(G74,'MY PROFILE'!C7),30,IF(EXACT('MY PROFILE'!G27,"Yes"),10,0)))</f>
        <v/>
      </c>
      <c r="O74">
        <f>IF(T74=999,0,IF('MY PROFILE'!G10="No Limit",15,IF('MY PROFILE'!G10="30 Minutes",IF(T74&lt;=30,15,IF(T74&lt;=60,8,IF(T74&lt;=90,3,0))),IF('MY PROFILE'!G10="1 Hour",IF(T74&lt;=60,15,IF(T74&lt;=90,8,IF(T74&lt;=120,3,0))),IF('MY PROFILE'!G10="1.5 Hours",IF(T74&lt;=90,15,IF(T74&lt;=120,8,IF(T74&lt;=150,3,0))),IF('MY PROFILE'!G10="2 Hours",IF(T74&lt;=120,15,IF(T74&lt;=150,8,IF(T74&lt;=180,3,0))),IF('MY PROFILE'!G10="3 Hours",IF(T74&lt;=180,15,IF(T74&lt;=240,5,0)),15)))))))</f>
        <v/>
      </c>
      <c r="P74">
        <f>IF(EXACT('MY PROFILE'!C26,"Pursue Command"),IF(EXACT(I74,"Yes"),15,5),IF(EXACT('MY PROFILE'!C26,"Promote to Next Grade"),IF(EXACT(H74,"Leadership"),12,IF(EXACT(H74,"Staff"),10,8)),IF(EXACT('MY PROFILE'!C26,"Move to Staff"),IF(EXACT(H74,"Staff"),15,IF(EXACT(H74,"Technical"),10,5)),IF(EXACT('MY PROFILE'!C26,"Pursue AGR Full-Time"),IF(EXACT(J74,"AGR"),15,IF(EXACT(J74,"M-Day"),5,10)),8))))</f>
        <v/>
      </c>
      <c r="Q74">
        <f>IF(EXACT('MY PROFILE'!G6,"M-Day"),IF(EXACT(J74,"M-Day"),5,IF(EXACT(J74,"AGR"),1,3)),IF(EXACT('MY PROFILE'!G6,"AGR"),IF(EXACT(J74,"AGR"),5,IF(EXACT(J74,"M-Day"),2,3)),3))</f>
        <v/>
      </c>
      <c r="R74">
        <f>IFERROR(M74+N74+O74+P74+Q74,0)</f>
        <v/>
      </c>
      <c r="S74">
        <f>IF(R74&gt;=80,"STRONG MATCH",IF(R74&gt;=60,"GOOD MATCH",IF(R74&gt;=40,"MODERATE / STRETCH",IF(R74&gt;=20,"POSSIBLE — GAPS EXIST","NOT RECOMMENDED NOW"))))</f>
        <v/>
      </c>
      <c r="T74">
        <f>IFERROR(SUMPRODUCT(($A$231:$A$313='MY PROFILE'!C10)*($B$231:$B$313=C74)*($C$231:$C$313)),999)</f>
        <v/>
      </c>
    </row>
    <row r="75">
      <c r="A75">
        <f>'ADMIN - POSITIONS'!A75</f>
        <v/>
      </c>
      <c r="B75">
        <f>'ADMIN - POSITIONS'!B75</f>
        <v/>
      </c>
      <c r="C75">
        <f>'ADMIN - POSITIONS'!D75</f>
        <v/>
      </c>
      <c r="D75">
        <f>'ADMIN - POSITIONS'!E75</f>
        <v/>
      </c>
      <c r="E75">
        <f>'ADMIN - POSITIONS'!F75</f>
        <v/>
      </c>
      <c r="F75">
        <f>'ADMIN - POSITIONS'!G75</f>
        <v/>
      </c>
      <c r="G75">
        <f>'ADMIN - POSITIONS'!H75</f>
        <v/>
      </c>
      <c r="H75">
        <f>'ADMIN - POSITIONS'!J75</f>
        <v/>
      </c>
      <c r="I75">
        <f>'ADMIN - POSITIONS'!K75</f>
        <v/>
      </c>
      <c r="J75">
        <f>'ADMIN - POSITIONS'!L75</f>
        <v/>
      </c>
      <c r="K75">
        <f>'ADMIN - POSITIONS'!M75</f>
        <v/>
      </c>
      <c r="L75">
        <f>'ADMIN - POSITIONS'!N75</f>
        <v/>
      </c>
      <c r="M75">
        <f>IF(E75=""," ",IF(EXACT(E75,'MY PROFILE'!E6)=FALSE,0,IF(AND(EXACT(F75,'MY PROFILE'!E6),EXACT(E75,'MY PROFILE'!C25)),35,IF(AND(EXACT(F75,'MY PROFILE'!E6),EXACT(E75,'MY PROFILE'!C6)),25,10))))</f>
        <v/>
      </c>
      <c r="N75">
        <f>IF(G75="","",IF(EXACT(G75,'MY PROFILE'!C7),30,IF(EXACT('MY PROFILE'!G27,"Yes"),10,0)))</f>
        <v/>
      </c>
      <c r="O75">
        <f>IF(T75=999,0,IF('MY PROFILE'!G10="No Limit",15,IF('MY PROFILE'!G10="30 Minutes",IF(T75&lt;=30,15,IF(T75&lt;=60,8,IF(T75&lt;=90,3,0))),IF('MY PROFILE'!G10="1 Hour",IF(T75&lt;=60,15,IF(T75&lt;=90,8,IF(T75&lt;=120,3,0))),IF('MY PROFILE'!G10="1.5 Hours",IF(T75&lt;=90,15,IF(T75&lt;=120,8,IF(T75&lt;=150,3,0))),IF('MY PROFILE'!G10="2 Hours",IF(T75&lt;=120,15,IF(T75&lt;=150,8,IF(T75&lt;=180,3,0))),IF('MY PROFILE'!G10="3 Hours",IF(T75&lt;=180,15,IF(T75&lt;=240,5,0)),15)))))))</f>
        <v/>
      </c>
      <c r="P75">
        <f>IF(EXACT('MY PROFILE'!C26,"Pursue Command"),IF(EXACT(I75,"Yes"),15,5),IF(EXACT('MY PROFILE'!C26,"Promote to Next Grade"),IF(EXACT(H75,"Leadership"),12,IF(EXACT(H75,"Staff"),10,8)),IF(EXACT('MY PROFILE'!C26,"Move to Staff"),IF(EXACT(H75,"Staff"),15,IF(EXACT(H75,"Technical"),10,5)),IF(EXACT('MY PROFILE'!C26,"Pursue AGR Full-Time"),IF(EXACT(J75,"AGR"),15,IF(EXACT(J75,"M-Day"),5,10)),8))))</f>
        <v/>
      </c>
      <c r="Q75">
        <f>IF(EXACT('MY PROFILE'!G6,"M-Day"),IF(EXACT(J75,"M-Day"),5,IF(EXACT(J75,"AGR"),1,3)),IF(EXACT('MY PROFILE'!G6,"AGR"),IF(EXACT(J75,"AGR"),5,IF(EXACT(J75,"M-Day"),2,3)),3))</f>
        <v/>
      </c>
      <c r="R75">
        <f>IFERROR(M75+N75+O75+P75+Q75,0)</f>
        <v/>
      </c>
      <c r="S75">
        <f>IF(R75&gt;=80,"STRONG MATCH",IF(R75&gt;=60,"GOOD MATCH",IF(R75&gt;=40,"MODERATE / STRETCH",IF(R75&gt;=20,"POSSIBLE — GAPS EXIST","NOT RECOMMENDED NOW"))))</f>
        <v/>
      </c>
      <c r="T75">
        <f>IFERROR(SUMPRODUCT(($A$231:$A$313='MY PROFILE'!C10)*($B$231:$B$313=C75)*($C$231:$C$313)),999)</f>
        <v/>
      </c>
    </row>
    <row r="76">
      <c r="A76">
        <f>'ADMIN - POSITIONS'!A76</f>
        <v/>
      </c>
      <c r="B76">
        <f>'ADMIN - POSITIONS'!B76</f>
        <v/>
      </c>
      <c r="C76">
        <f>'ADMIN - POSITIONS'!D76</f>
        <v/>
      </c>
      <c r="D76">
        <f>'ADMIN - POSITIONS'!E76</f>
        <v/>
      </c>
      <c r="E76">
        <f>'ADMIN - POSITIONS'!F76</f>
        <v/>
      </c>
      <c r="F76">
        <f>'ADMIN - POSITIONS'!G76</f>
        <v/>
      </c>
      <c r="G76">
        <f>'ADMIN - POSITIONS'!H76</f>
        <v/>
      </c>
      <c r="H76">
        <f>'ADMIN - POSITIONS'!J76</f>
        <v/>
      </c>
      <c r="I76">
        <f>'ADMIN - POSITIONS'!K76</f>
        <v/>
      </c>
      <c r="J76">
        <f>'ADMIN - POSITIONS'!L76</f>
        <v/>
      </c>
      <c r="K76">
        <f>'ADMIN - POSITIONS'!M76</f>
        <v/>
      </c>
      <c r="L76">
        <f>'ADMIN - POSITIONS'!N76</f>
        <v/>
      </c>
      <c r="M76">
        <f>IF(E76=""," ",IF(EXACT(E76,'MY PROFILE'!E6)=FALSE,0,IF(AND(EXACT(F76,'MY PROFILE'!E6),EXACT(E76,'MY PROFILE'!C25)),35,IF(AND(EXACT(F76,'MY PROFILE'!E6),EXACT(E76,'MY PROFILE'!C6)),25,10))))</f>
        <v/>
      </c>
      <c r="N76">
        <f>IF(G76="","",IF(EXACT(G76,'MY PROFILE'!C7),30,IF(EXACT('MY PROFILE'!G27,"Yes"),10,0)))</f>
        <v/>
      </c>
      <c r="O76">
        <f>IF(T76=999,0,IF('MY PROFILE'!G10="No Limit",15,IF('MY PROFILE'!G10="30 Minutes",IF(T76&lt;=30,15,IF(T76&lt;=60,8,IF(T76&lt;=90,3,0))),IF('MY PROFILE'!G10="1 Hour",IF(T76&lt;=60,15,IF(T76&lt;=90,8,IF(T76&lt;=120,3,0))),IF('MY PROFILE'!G10="1.5 Hours",IF(T76&lt;=90,15,IF(T76&lt;=120,8,IF(T76&lt;=150,3,0))),IF('MY PROFILE'!G10="2 Hours",IF(T76&lt;=120,15,IF(T76&lt;=150,8,IF(T76&lt;=180,3,0))),IF('MY PROFILE'!G10="3 Hours",IF(T76&lt;=180,15,IF(T76&lt;=240,5,0)),15)))))))</f>
        <v/>
      </c>
      <c r="P76">
        <f>IF(EXACT('MY PROFILE'!C26,"Pursue Command"),IF(EXACT(I76,"Yes"),15,5),IF(EXACT('MY PROFILE'!C26,"Promote to Next Grade"),IF(EXACT(H76,"Leadership"),12,IF(EXACT(H76,"Staff"),10,8)),IF(EXACT('MY PROFILE'!C26,"Move to Staff"),IF(EXACT(H76,"Staff"),15,IF(EXACT(H76,"Technical"),10,5)),IF(EXACT('MY PROFILE'!C26,"Pursue AGR Full-Time"),IF(EXACT(J76,"AGR"),15,IF(EXACT(J76,"M-Day"),5,10)),8))))</f>
        <v/>
      </c>
      <c r="Q76">
        <f>IF(EXACT('MY PROFILE'!G6,"M-Day"),IF(EXACT(J76,"M-Day"),5,IF(EXACT(J76,"AGR"),1,3)),IF(EXACT('MY PROFILE'!G6,"AGR"),IF(EXACT(J76,"AGR"),5,IF(EXACT(J76,"M-Day"),2,3)),3))</f>
        <v/>
      </c>
      <c r="R76">
        <f>IFERROR(M76+N76+O76+P76+Q76,0)</f>
        <v/>
      </c>
      <c r="S76">
        <f>IF(R76&gt;=80,"STRONG MATCH",IF(R76&gt;=60,"GOOD MATCH",IF(R76&gt;=40,"MODERATE / STRETCH",IF(R76&gt;=20,"POSSIBLE — GAPS EXIST","NOT RECOMMENDED NOW"))))</f>
        <v/>
      </c>
      <c r="T76">
        <f>IFERROR(SUMPRODUCT(($A$231:$A$313='MY PROFILE'!C10)*($B$231:$B$313=C76)*($C$231:$C$313)),999)</f>
        <v/>
      </c>
    </row>
    <row r="77">
      <c r="A77">
        <f>'ADMIN - POSITIONS'!A77</f>
        <v/>
      </c>
      <c r="B77">
        <f>'ADMIN - POSITIONS'!B77</f>
        <v/>
      </c>
      <c r="C77">
        <f>'ADMIN - POSITIONS'!D77</f>
        <v/>
      </c>
      <c r="D77">
        <f>'ADMIN - POSITIONS'!E77</f>
        <v/>
      </c>
      <c r="E77">
        <f>'ADMIN - POSITIONS'!F77</f>
        <v/>
      </c>
      <c r="F77">
        <f>'ADMIN - POSITIONS'!G77</f>
        <v/>
      </c>
      <c r="G77">
        <f>'ADMIN - POSITIONS'!H77</f>
        <v/>
      </c>
      <c r="H77">
        <f>'ADMIN - POSITIONS'!J77</f>
        <v/>
      </c>
      <c r="I77">
        <f>'ADMIN - POSITIONS'!K77</f>
        <v/>
      </c>
      <c r="J77">
        <f>'ADMIN - POSITIONS'!L77</f>
        <v/>
      </c>
      <c r="K77">
        <f>'ADMIN - POSITIONS'!M77</f>
        <v/>
      </c>
      <c r="L77">
        <f>'ADMIN - POSITIONS'!N77</f>
        <v/>
      </c>
      <c r="M77">
        <f>IF(E77=""," ",IF(EXACT(E77,'MY PROFILE'!E6)=FALSE,0,IF(AND(EXACT(F77,'MY PROFILE'!E6),EXACT(E77,'MY PROFILE'!C25)),35,IF(AND(EXACT(F77,'MY PROFILE'!E6),EXACT(E77,'MY PROFILE'!C6)),25,10))))</f>
        <v/>
      </c>
      <c r="N77">
        <f>IF(G77="","",IF(EXACT(G77,'MY PROFILE'!C7),30,IF(EXACT('MY PROFILE'!G27,"Yes"),10,0)))</f>
        <v/>
      </c>
      <c r="O77">
        <f>IF(T77=999,0,IF('MY PROFILE'!G10="No Limit",15,IF('MY PROFILE'!G10="30 Minutes",IF(T77&lt;=30,15,IF(T77&lt;=60,8,IF(T77&lt;=90,3,0))),IF('MY PROFILE'!G10="1 Hour",IF(T77&lt;=60,15,IF(T77&lt;=90,8,IF(T77&lt;=120,3,0))),IF('MY PROFILE'!G10="1.5 Hours",IF(T77&lt;=90,15,IF(T77&lt;=120,8,IF(T77&lt;=150,3,0))),IF('MY PROFILE'!G10="2 Hours",IF(T77&lt;=120,15,IF(T77&lt;=150,8,IF(T77&lt;=180,3,0))),IF('MY PROFILE'!G10="3 Hours",IF(T77&lt;=180,15,IF(T77&lt;=240,5,0)),15)))))))</f>
        <v/>
      </c>
      <c r="P77">
        <f>IF(EXACT('MY PROFILE'!C26,"Pursue Command"),IF(EXACT(I77,"Yes"),15,5),IF(EXACT('MY PROFILE'!C26,"Promote to Next Grade"),IF(EXACT(H77,"Leadership"),12,IF(EXACT(H77,"Staff"),10,8)),IF(EXACT('MY PROFILE'!C26,"Move to Staff"),IF(EXACT(H77,"Staff"),15,IF(EXACT(H77,"Technical"),10,5)),IF(EXACT('MY PROFILE'!C26,"Pursue AGR Full-Time"),IF(EXACT(J77,"AGR"),15,IF(EXACT(J77,"M-Day"),5,10)),8))))</f>
        <v/>
      </c>
      <c r="Q77">
        <f>IF(EXACT('MY PROFILE'!G6,"M-Day"),IF(EXACT(J77,"M-Day"),5,IF(EXACT(J77,"AGR"),1,3)),IF(EXACT('MY PROFILE'!G6,"AGR"),IF(EXACT(J77,"AGR"),5,IF(EXACT(J77,"M-Day"),2,3)),3))</f>
        <v/>
      </c>
      <c r="R77">
        <f>IFERROR(M77+N77+O77+P77+Q77,0)</f>
        <v/>
      </c>
      <c r="S77">
        <f>IF(R77&gt;=80,"STRONG MATCH",IF(R77&gt;=60,"GOOD MATCH",IF(R77&gt;=40,"MODERATE / STRETCH",IF(R77&gt;=20,"POSSIBLE — GAPS EXIST","NOT RECOMMENDED NOW"))))</f>
        <v/>
      </c>
      <c r="T77">
        <f>IFERROR(SUMPRODUCT(($A$231:$A$313='MY PROFILE'!C10)*($B$231:$B$313=C77)*($C$231:$C$313)),999)</f>
        <v/>
      </c>
    </row>
    <row r="78">
      <c r="A78">
        <f>'ADMIN - POSITIONS'!A78</f>
        <v/>
      </c>
      <c r="B78">
        <f>'ADMIN - POSITIONS'!B78</f>
        <v/>
      </c>
      <c r="C78">
        <f>'ADMIN - POSITIONS'!D78</f>
        <v/>
      </c>
      <c r="D78">
        <f>'ADMIN - POSITIONS'!E78</f>
        <v/>
      </c>
      <c r="E78">
        <f>'ADMIN - POSITIONS'!F78</f>
        <v/>
      </c>
      <c r="F78">
        <f>'ADMIN - POSITIONS'!G78</f>
        <v/>
      </c>
      <c r="G78">
        <f>'ADMIN - POSITIONS'!H78</f>
        <v/>
      </c>
      <c r="H78">
        <f>'ADMIN - POSITIONS'!J78</f>
        <v/>
      </c>
      <c r="I78">
        <f>'ADMIN - POSITIONS'!K78</f>
        <v/>
      </c>
      <c r="J78">
        <f>'ADMIN - POSITIONS'!L78</f>
        <v/>
      </c>
      <c r="K78">
        <f>'ADMIN - POSITIONS'!M78</f>
        <v/>
      </c>
      <c r="L78">
        <f>'ADMIN - POSITIONS'!N78</f>
        <v/>
      </c>
      <c r="M78">
        <f>IF(E78=""," ",IF(EXACT(E78,'MY PROFILE'!E6)=FALSE,0,IF(AND(EXACT(F78,'MY PROFILE'!E6),EXACT(E78,'MY PROFILE'!C25)),35,IF(AND(EXACT(F78,'MY PROFILE'!E6),EXACT(E78,'MY PROFILE'!C6)),25,10))))</f>
        <v/>
      </c>
      <c r="N78">
        <f>IF(G78="","",IF(EXACT(G78,'MY PROFILE'!C7),30,IF(EXACT('MY PROFILE'!G27,"Yes"),10,0)))</f>
        <v/>
      </c>
      <c r="O78">
        <f>IF(T78=999,0,IF('MY PROFILE'!G10="No Limit",15,IF('MY PROFILE'!G10="30 Minutes",IF(T78&lt;=30,15,IF(T78&lt;=60,8,IF(T78&lt;=90,3,0))),IF('MY PROFILE'!G10="1 Hour",IF(T78&lt;=60,15,IF(T78&lt;=90,8,IF(T78&lt;=120,3,0))),IF('MY PROFILE'!G10="1.5 Hours",IF(T78&lt;=90,15,IF(T78&lt;=120,8,IF(T78&lt;=150,3,0))),IF('MY PROFILE'!G10="2 Hours",IF(T78&lt;=120,15,IF(T78&lt;=150,8,IF(T78&lt;=180,3,0))),IF('MY PROFILE'!G10="3 Hours",IF(T78&lt;=180,15,IF(T78&lt;=240,5,0)),15)))))))</f>
        <v/>
      </c>
      <c r="P78">
        <f>IF(EXACT('MY PROFILE'!C26,"Pursue Command"),IF(EXACT(I78,"Yes"),15,5),IF(EXACT('MY PROFILE'!C26,"Promote to Next Grade"),IF(EXACT(H78,"Leadership"),12,IF(EXACT(H78,"Staff"),10,8)),IF(EXACT('MY PROFILE'!C26,"Move to Staff"),IF(EXACT(H78,"Staff"),15,IF(EXACT(H78,"Technical"),10,5)),IF(EXACT('MY PROFILE'!C26,"Pursue AGR Full-Time"),IF(EXACT(J78,"AGR"),15,IF(EXACT(J78,"M-Day"),5,10)),8))))</f>
        <v/>
      </c>
      <c r="Q78">
        <f>IF(EXACT('MY PROFILE'!G6,"M-Day"),IF(EXACT(J78,"M-Day"),5,IF(EXACT(J78,"AGR"),1,3)),IF(EXACT('MY PROFILE'!G6,"AGR"),IF(EXACT(J78,"AGR"),5,IF(EXACT(J78,"M-Day"),2,3)),3))</f>
        <v/>
      </c>
      <c r="R78">
        <f>IFERROR(M78+N78+O78+P78+Q78,0)</f>
        <v/>
      </c>
      <c r="S78">
        <f>IF(R78&gt;=80,"STRONG MATCH",IF(R78&gt;=60,"GOOD MATCH",IF(R78&gt;=40,"MODERATE / STRETCH",IF(R78&gt;=20,"POSSIBLE — GAPS EXIST","NOT RECOMMENDED NOW"))))</f>
        <v/>
      </c>
      <c r="T78">
        <f>IFERROR(SUMPRODUCT(($A$231:$A$313='MY PROFILE'!C10)*($B$231:$B$313=C78)*($C$231:$C$313)),999)</f>
        <v/>
      </c>
    </row>
    <row r="79">
      <c r="A79">
        <f>'ADMIN - POSITIONS'!A79</f>
        <v/>
      </c>
      <c r="B79">
        <f>'ADMIN - POSITIONS'!B79</f>
        <v/>
      </c>
      <c r="C79">
        <f>'ADMIN - POSITIONS'!D79</f>
        <v/>
      </c>
      <c r="D79">
        <f>'ADMIN - POSITIONS'!E79</f>
        <v/>
      </c>
      <c r="E79">
        <f>'ADMIN - POSITIONS'!F79</f>
        <v/>
      </c>
      <c r="F79">
        <f>'ADMIN - POSITIONS'!G79</f>
        <v/>
      </c>
      <c r="G79">
        <f>'ADMIN - POSITIONS'!H79</f>
        <v/>
      </c>
      <c r="H79">
        <f>'ADMIN - POSITIONS'!J79</f>
        <v/>
      </c>
      <c r="I79">
        <f>'ADMIN - POSITIONS'!K79</f>
        <v/>
      </c>
      <c r="J79">
        <f>'ADMIN - POSITIONS'!L79</f>
        <v/>
      </c>
      <c r="K79">
        <f>'ADMIN - POSITIONS'!M79</f>
        <v/>
      </c>
      <c r="L79">
        <f>'ADMIN - POSITIONS'!N79</f>
        <v/>
      </c>
      <c r="M79">
        <f>IF(E79=""," ",IF(EXACT(E79,'MY PROFILE'!E6)=FALSE,0,IF(AND(EXACT(F79,'MY PROFILE'!E6),EXACT(E79,'MY PROFILE'!C25)),35,IF(AND(EXACT(F79,'MY PROFILE'!E6),EXACT(E79,'MY PROFILE'!C6)),25,10))))</f>
        <v/>
      </c>
      <c r="N79">
        <f>IF(G79="","",IF(EXACT(G79,'MY PROFILE'!C7),30,IF(EXACT('MY PROFILE'!G27,"Yes"),10,0)))</f>
        <v/>
      </c>
      <c r="O79">
        <f>IF(T79=999,0,IF('MY PROFILE'!G10="No Limit",15,IF('MY PROFILE'!G10="30 Minutes",IF(T79&lt;=30,15,IF(T79&lt;=60,8,IF(T79&lt;=90,3,0))),IF('MY PROFILE'!G10="1 Hour",IF(T79&lt;=60,15,IF(T79&lt;=90,8,IF(T79&lt;=120,3,0))),IF('MY PROFILE'!G10="1.5 Hours",IF(T79&lt;=90,15,IF(T79&lt;=120,8,IF(T79&lt;=150,3,0))),IF('MY PROFILE'!G10="2 Hours",IF(T79&lt;=120,15,IF(T79&lt;=150,8,IF(T79&lt;=180,3,0))),IF('MY PROFILE'!G10="3 Hours",IF(T79&lt;=180,15,IF(T79&lt;=240,5,0)),15)))))))</f>
        <v/>
      </c>
      <c r="P79">
        <f>IF(EXACT('MY PROFILE'!C26,"Pursue Command"),IF(EXACT(I79,"Yes"),15,5),IF(EXACT('MY PROFILE'!C26,"Promote to Next Grade"),IF(EXACT(H79,"Leadership"),12,IF(EXACT(H79,"Staff"),10,8)),IF(EXACT('MY PROFILE'!C26,"Move to Staff"),IF(EXACT(H79,"Staff"),15,IF(EXACT(H79,"Technical"),10,5)),IF(EXACT('MY PROFILE'!C26,"Pursue AGR Full-Time"),IF(EXACT(J79,"AGR"),15,IF(EXACT(J79,"M-Day"),5,10)),8))))</f>
        <v/>
      </c>
      <c r="Q79">
        <f>IF(EXACT('MY PROFILE'!G6,"M-Day"),IF(EXACT(J79,"M-Day"),5,IF(EXACT(J79,"AGR"),1,3)),IF(EXACT('MY PROFILE'!G6,"AGR"),IF(EXACT(J79,"AGR"),5,IF(EXACT(J79,"M-Day"),2,3)),3))</f>
        <v/>
      </c>
      <c r="R79">
        <f>IFERROR(M79+N79+O79+P79+Q79,0)</f>
        <v/>
      </c>
      <c r="S79">
        <f>IF(R79&gt;=80,"STRONG MATCH",IF(R79&gt;=60,"GOOD MATCH",IF(R79&gt;=40,"MODERATE / STRETCH",IF(R79&gt;=20,"POSSIBLE — GAPS EXIST","NOT RECOMMENDED NOW"))))</f>
        <v/>
      </c>
      <c r="T79">
        <f>IFERROR(SUMPRODUCT(($A$231:$A$313='MY PROFILE'!C10)*($B$231:$B$313=C79)*($C$231:$C$313)),999)</f>
        <v/>
      </c>
    </row>
    <row r="80">
      <c r="A80">
        <f>'ADMIN - POSITIONS'!A80</f>
        <v/>
      </c>
      <c r="B80">
        <f>'ADMIN - POSITIONS'!B80</f>
        <v/>
      </c>
      <c r="C80">
        <f>'ADMIN - POSITIONS'!D80</f>
        <v/>
      </c>
      <c r="D80">
        <f>'ADMIN - POSITIONS'!E80</f>
        <v/>
      </c>
      <c r="E80">
        <f>'ADMIN - POSITIONS'!F80</f>
        <v/>
      </c>
      <c r="F80">
        <f>'ADMIN - POSITIONS'!G80</f>
        <v/>
      </c>
      <c r="G80">
        <f>'ADMIN - POSITIONS'!H80</f>
        <v/>
      </c>
      <c r="H80">
        <f>'ADMIN - POSITIONS'!J80</f>
        <v/>
      </c>
      <c r="I80">
        <f>'ADMIN - POSITIONS'!K80</f>
        <v/>
      </c>
      <c r="J80">
        <f>'ADMIN - POSITIONS'!L80</f>
        <v/>
      </c>
      <c r="K80">
        <f>'ADMIN - POSITIONS'!M80</f>
        <v/>
      </c>
      <c r="L80">
        <f>'ADMIN - POSITIONS'!N80</f>
        <v/>
      </c>
      <c r="M80">
        <f>IF(E80=""," ",IF(EXACT(E80,'MY PROFILE'!E6)=FALSE,0,IF(AND(EXACT(F80,'MY PROFILE'!E6),EXACT(E80,'MY PROFILE'!C25)),35,IF(AND(EXACT(F80,'MY PROFILE'!E6),EXACT(E80,'MY PROFILE'!C6)),25,10))))</f>
        <v/>
      </c>
      <c r="N80">
        <f>IF(G80="","",IF(EXACT(G80,'MY PROFILE'!C7),30,IF(EXACT('MY PROFILE'!G27,"Yes"),10,0)))</f>
        <v/>
      </c>
      <c r="O80">
        <f>IF(T80=999,0,IF('MY PROFILE'!G10="No Limit",15,IF('MY PROFILE'!G10="30 Minutes",IF(T80&lt;=30,15,IF(T80&lt;=60,8,IF(T80&lt;=90,3,0))),IF('MY PROFILE'!G10="1 Hour",IF(T80&lt;=60,15,IF(T80&lt;=90,8,IF(T80&lt;=120,3,0))),IF('MY PROFILE'!G10="1.5 Hours",IF(T80&lt;=90,15,IF(T80&lt;=120,8,IF(T80&lt;=150,3,0))),IF('MY PROFILE'!G10="2 Hours",IF(T80&lt;=120,15,IF(T80&lt;=150,8,IF(T80&lt;=180,3,0))),IF('MY PROFILE'!G10="3 Hours",IF(T80&lt;=180,15,IF(T80&lt;=240,5,0)),15)))))))</f>
        <v/>
      </c>
      <c r="P80">
        <f>IF(EXACT('MY PROFILE'!C26,"Pursue Command"),IF(EXACT(I80,"Yes"),15,5),IF(EXACT('MY PROFILE'!C26,"Promote to Next Grade"),IF(EXACT(H80,"Leadership"),12,IF(EXACT(H80,"Staff"),10,8)),IF(EXACT('MY PROFILE'!C26,"Move to Staff"),IF(EXACT(H80,"Staff"),15,IF(EXACT(H80,"Technical"),10,5)),IF(EXACT('MY PROFILE'!C26,"Pursue AGR Full-Time"),IF(EXACT(J80,"AGR"),15,IF(EXACT(J80,"M-Day"),5,10)),8))))</f>
        <v/>
      </c>
      <c r="Q80">
        <f>IF(EXACT('MY PROFILE'!G6,"M-Day"),IF(EXACT(J80,"M-Day"),5,IF(EXACT(J80,"AGR"),1,3)),IF(EXACT('MY PROFILE'!G6,"AGR"),IF(EXACT(J80,"AGR"),5,IF(EXACT(J80,"M-Day"),2,3)),3))</f>
        <v/>
      </c>
      <c r="R80">
        <f>IFERROR(M80+N80+O80+P80+Q80,0)</f>
        <v/>
      </c>
      <c r="S80">
        <f>IF(R80&gt;=80,"STRONG MATCH",IF(R80&gt;=60,"GOOD MATCH",IF(R80&gt;=40,"MODERATE / STRETCH",IF(R80&gt;=20,"POSSIBLE — GAPS EXIST","NOT RECOMMENDED NOW"))))</f>
        <v/>
      </c>
      <c r="T80">
        <f>IFERROR(SUMPRODUCT(($A$231:$A$313='MY PROFILE'!C10)*($B$231:$B$313=C80)*($C$231:$C$313)),999)</f>
        <v/>
      </c>
    </row>
    <row r="81">
      <c r="A81">
        <f>'ADMIN - POSITIONS'!A81</f>
        <v/>
      </c>
      <c r="B81">
        <f>'ADMIN - POSITIONS'!B81</f>
        <v/>
      </c>
      <c r="C81">
        <f>'ADMIN - POSITIONS'!D81</f>
        <v/>
      </c>
      <c r="D81">
        <f>'ADMIN - POSITIONS'!E81</f>
        <v/>
      </c>
      <c r="E81">
        <f>'ADMIN - POSITIONS'!F81</f>
        <v/>
      </c>
      <c r="F81">
        <f>'ADMIN - POSITIONS'!G81</f>
        <v/>
      </c>
      <c r="G81">
        <f>'ADMIN - POSITIONS'!H81</f>
        <v/>
      </c>
      <c r="H81">
        <f>'ADMIN - POSITIONS'!J81</f>
        <v/>
      </c>
      <c r="I81">
        <f>'ADMIN - POSITIONS'!K81</f>
        <v/>
      </c>
      <c r="J81">
        <f>'ADMIN - POSITIONS'!L81</f>
        <v/>
      </c>
      <c r="K81">
        <f>'ADMIN - POSITIONS'!M81</f>
        <v/>
      </c>
      <c r="L81">
        <f>'ADMIN - POSITIONS'!N81</f>
        <v/>
      </c>
      <c r="M81">
        <f>IF(E81=""," ",IF(EXACT(E81,'MY PROFILE'!E6)=FALSE,0,IF(AND(EXACT(F81,'MY PROFILE'!E6),EXACT(E81,'MY PROFILE'!C25)),35,IF(AND(EXACT(F81,'MY PROFILE'!E6),EXACT(E81,'MY PROFILE'!C6)),25,10))))</f>
        <v/>
      </c>
      <c r="N81">
        <f>IF(G81="","",IF(EXACT(G81,'MY PROFILE'!C7),30,IF(EXACT('MY PROFILE'!G27,"Yes"),10,0)))</f>
        <v/>
      </c>
      <c r="O81">
        <f>IF(T81=999,0,IF('MY PROFILE'!G10="No Limit",15,IF('MY PROFILE'!G10="30 Minutes",IF(T81&lt;=30,15,IF(T81&lt;=60,8,IF(T81&lt;=90,3,0))),IF('MY PROFILE'!G10="1 Hour",IF(T81&lt;=60,15,IF(T81&lt;=90,8,IF(T81&lt;=120,3,0))),IF('MY PROFILE'!G10="1.5 Hours",IF(T81&lt;=90,15,IF(T81&lt;=120,8,IF(T81&lt;=150,3,0))),IF('MY PROFILE'!G10="2 Hours",IF(T81&lt;=120,15,IF(T81&lt;=150,8,IF(T81&lt;=180,3,0))),IF('MY PROFILE'!G10="3 Hours",IF(T81&lt;=180,15,IF(T81&lt;=240,5,0)),15)))))))</f>
        <v/>
      </c>
      <c r="P81">
        <f>IF(EXACT('MY PROFILE'!C26,"Pursue Command"),IF(EXACT(I81,"Yes"),15,5),IF(EXACT('MY PROFILE'!C26,"Promote to Next Grade"),IF(EXACT(H81,"Leadership"),12,IF(EXACT(H81,"Staff"),10,8)),IF(EXACT('MY PROFILE'!C26,"Move to Staff"),IF(EXACT(H81,"Staff"),15,IF(EXACT(H81,"Technical"),10,5)),IF(EXACT('MY PROFILE'!C26,"Pursue AGR Full-Time"),IF(EXACT(J81,"AGR"),15,IF(EXACT(J81,"M-Day"),5,10)),8))))</f>
        <v/>
      </c>
      <c r="Q81">
        <f>IF(EXACT('MY PROFILE'!G6,"M-Day"),IF(EXACT(J81,"M-Day"),5,IF(EXACT(J81,"AGR"),1,3)),IF(EXACT('MY PROFILE'!G6,"AGR"),IF(EXACT(J81,"AGR"),5,IF(EXACT(J81,"M-Day"),2,3)),3))</f>
        <v/>
      </c>
      <c r="R81">
        <f>IFERROR(M81+N81+O81+P81+Q81,0)</f>
        <v/>
      </c>
      <c r="S81">
        <f>IF(R81&gt;=80,"STRONG MATCH",IF(R81&gt;=60,"GOOD MATCH",IF(R81&gt;=40,"MODERATE / STRETCH",IF(R81&gt;=20,"POSSIBLE — GAPS EXIST","NOT RECOMMENDED NOW"))))</f>
        <v/>
      </c>
      <c r="T81">
        <f>IFERROR(SUMPRODUCT(($A$231:$A$313='MY PROFILE'!C10)*($B$231:$B$313=C81)*($C$231:$C$313)),999)</f>
        <v/>
      </c>
    </row>
    <row r="82">
      <c r="A82">
        <f>'ADMIN - POSITIONS'!A82</f>
        <v/>
      </c>
      <c r="B82">
        <f>'ADMIN - POSITIONS'!B82</f>
        <v/>
      </c>
      <c r="C82">
        <f>'ADMIN - POSITIONS'!D82</f>
        <v/>
      </c>
      <c r="D82">
        <f>'ADMIN - POSITIONS'!E82</f>
        <v/>
      </c>
      <c r="E82">
        <f>'ADMIN - POSITIONS'!F82</f>
        <v/>
      </c>
      <c r="F82">
        <f>'ADMIN - POSITIONS'!G82</f>
        <v/>
      </c>
      <c r="G82">
        <f>'ADMIN - POSITIONS'!H82</f>
        <v/>
      </c>
      <c r="H82">
        <f>'ADMIN - POSITIONS'!J82</f>
        <v/>
      </c>
      <c r="I82">
        <f>'ADMIN - POSITIONS'!K82</f>
        <v/>
      </c>
      <c r="J82">
        <f>'ADMIN - POSITIONS'!L82</f>
        <v/>
      </c>
      <c r="K82">
        <f>'ADMIN - POSITIONS'!M82</f>
        <v/>
      </c>
      <c r="L82">
        <f>'ADMIN - POSITIONS'!N82</f>
        <v/>
      </c>
      <c r="M82">
        <f>IF(E82=""," ",IF(EXACT(E82,'MY PROFILE'!E6)=FALSE,0,IF(AND(EXACT(F82,'MY PROFILE'!E6),EXACT(E82,'MY PROFILE'!C25)),35,IF(AND(EXACT(F82,'MY PROFILE'!E6),EXACT(E82,'MY PROFILE'!C6)),25,10))))</f>
        <v/>
      </c>
      <c r="N82">
        <f>IF(G82="","",IF(EXACT(G82,'MY PROFILE'!C7),30,IF(EXACT('MY PROFILE'!G27,"Yes"),10,0)))</f>
        <v/>
      </c>
      <c r="O82">
        <f>IF(T82=999,0,IF('MY PROFILE'!G10="No Limit",15,IF('MY PROFILE'!G10="30 Minutes",IF(T82&lt;=30,15,IF(T82&lt;=60,8,IF(T82&lt;=90,3,0))),IF('MY PROFILE'!G10="1 Hour",IF(T82&lt;=60,15,IF(T82&lt;=90,8,IF(T82&lt;=120,3,0))),IF('MY PROFILE'!G10="1.5 Hours",IF(T82&lt;=90,15,IF(T82&lt;=120,8,IF(T82&lt;=150,3,0))),IF('MY PROFILE'!G10="2 Hours",IF(T82&lt;=120,15,IF(T82&lt;=150,8,IF(T82&lt;=180,3,0))),IF('MY PROFILE'!G10="3 Hours",IF(T82&lt;=180,15,IF(T82&lt;=240,5,0)),15)))))))</f>
        <v/>
      </c>
      <c r="P82">
        <f>IF(EXACT('MY PROFILE'!C26,"Pursue Command"),IF(EXACT(I82,"Yes"),15,5),IF(EXACT('MY PROFILE'!C26,"Promote to Next Grade"),IF(EXACT(H82,"Leadership"),12,IF(EXACT(H82,"Staff"),10,8)),IF(EXACT('MY PROFILE'!C26,"Move to Staff"),IF(EXACT(H82,"Staff"),15,IF(EXACT(H82,"Technical"),10,5)),IF(EXACT('MY PROFILE'!C26,"Pursue AGR Full-Time"),IF(EXACT(J82,"AGR"),15,IF(EXACT(J82,"M-Day"),5,10)),8))))</f>
        <v/>
      </c>
      <c r="Q82">
        <f>IF(EXACT('MY PROFILE'!G6,"M-Day"),IF(EXACT(J82,"M-Day"),5,IF(EXACT(J82,"AGR"),1,3)),IF(EXACT('MY PROFILE'!G6,"AGR"),IF(EXACT(J82,"AGR"),5,IF(EXACT(J82,"M-Day"),2,3)),3))</f>
        <v/>
      </c>
      <c r="R82">
        <f>IFERROR(M82+N82+O82+P82+Q82,0)</f>
        <v/>
      </c>
      <c r="S82">
        <f>IF(R82&gt;=80,"STRONG MATCH",IF(R82&gt;=60,"GOOD MATCH",IF(R82&gt;=40,"MODERATE / STRETCH",IF(R82&gt;=20,"POSSIBLE — GAPS EXIST","NOT RECOMMENDED NOW"))))</f>
        <v/>
      </c>
      <c r="T82">
        <f>IFERROR(SUMPRODUCT(($A$231:$A$313='MY PROFILE'!C10)*($B$231:$B$313=C82)*($C$231:$C$313)),999)</f>
        <v/>
      </c>
    </row>
    <row r="200">
      <c r="A200" s="92" t="inlineStr">
        <is>
          <t>RANK MAP (used by scoring formulas)</t>
        </is>
      </c>
    </row>
    <row r="201">
      <c r="A201" t="inlineStr">
        <is>
          <t>E1</t>
        </is>
      </c>
      <c r="B201" t="n">
        <v>1</v>
      </c>
    </row>
    <row r="202">
      <c r="A202" t="inlineStr">
        <is>
          <t>E2</t>
        </is>
      </c>
      <c r="B202" t="n">
        <v>2</v>
      </c>
    </row>
    <row r="203">
      <c r="A203" t="inlineStr">
        <is>
          <t>E3</t>
        </is>
      </c>
      <c r="B203" t="n">
        <v>3</v>
      </c>
    </row>
    <row r="204">
      <c r="A204" t="inlineStr">
        <is>
          <t>E4</t>
        </is>
      </c>
      <c r="B204" t="n">
        <v>4</v>
      </c>
    </row>
    <row r="205">
      <c r="A205" t="inlineStr">
        <is>
          <t>E5</t>
        </is>
      </c>
      <c r="B205" t="n">
        <v>5</v>
      </c>
    </row>
    <row r="206">
      <c r="A206" t="inlineStr">
        <is>
          <t>E6</t>
        </is>
      </c>
      <c r="B206" t="n">
        <v>6</v>
      </c>
    </row>
    <row r="207">
      <c r="A207" t="inlineStr">
        <is>
          <t>E7</t>
        </is>
      </c>
      <c r="B207" t="n">
        <v>7</v>
      </c>
    </row>
    <row r="208">
      <c r="A208" t="inlineStr">
        <is>
          <t>E8</t>
        </is>
      </c>
      <c r="B208" t="n">
        <v>8</v>
      </c>
    </row>
    <row r="209">
      <c r="A209" t="inlineStr">
        <is>
          <t>E9</t>
        </is>
      </c>
      <c r="B209" t="n">
        <v>9</v>
      </c>
    </row>
    <row r="210">
      <c r="A210" t="inlineStr">
        <is>
          <t>W1</t>
        </is>
      </c>
      <c r="B210" t="n">
        <v>10</v>
      </c>
    </row>
    <row r="211">
      <c r="A211" t="inlineStr">
        <is>
          <t>W2</t>
        </is>
      </c>
      <c r="B211" t="n">
        <v>11</v>
      </c>
    </row>
    <row r="212">
      <c r="A212" t="inlineStr">
        <is>
          <t>W3</t>
        </is>
      </c>
      <c r="B212" t="n">
        <v>12</v>
      </c>
    </row>
    <row r="213">
      <c r="A213" t="inlineStr">
        <is>
          <t>W4</t>
        </is>
      </c>
      <c r="B213" t="n">
        <v>13</v>
      </c>
    </row>
    <row r="214">
      <c r="A214" t="inlineStr">
        <is>
          <t>W5</t>
        </is>
      </c>
      <c r="B214" t="n">
        <v>14</v>
      </c>
    </row>
    <row r="215">
      <c r="A215" t="inlineStr">
        <is>
          <t>O1</t>
        </is>
      </c>
      <c r="B215" t="n">
        <v>15</v>
      </c>
    </row>
    <row r="216">
      <c r="A216" t="inlineStr">
        <is>
          <t>O2</t>
        </is>
      </c>
      <c r="B216" t="n">
        <v>16</v>
      </c>
    </row>
    <row r="217">
      <c r="A217" t="inlineStr">
        <is>
          <t>O3</t>
        </is>
      </c>
      <c r="B217" t="n">
        <v>17</v>
      </c>
    </row>
    <row r="218">
      <c r="A218" t="inlineStr">
        <is>
          <t>O4</t>
        </is>
      </c>
      <c r="B218" t="n">
        <v>18</v>
      </c>
    </row>
    <row r="219">
      <c r="A219" t="inlineStr">
        <is>
          <t>O5</t>
        </is>
      </c>
      <c r="B219" t="n">
        <v>19</v>
      </c>
    </row>
    <row r="220">
      <c r="A220" t="inlineStr">
        <is>
          <t>O6</t>
        </is>
      </c>
      <c r="B220" t="n">
        <v>20</v>
      </c>
    </row>
    <row r="230">
      <c r="A230" s="92" t="inlineStr">
        <is>
          <t>COMMUTE MINUTES LOOKUP (From|To|Minutes)</t>
        </is>
      </c>
    </row>
    <row r="231">
      <c r="A231" t="inlineStr">
        <is>
          <t>Anaconda</t>
        </is>
      </c>
      <c r="B231" t="inlineStr">
        <is>
          <t>Butte</t>
        </is>
      </c>
      <c r="C231" t="n">
        <v>30</v>
      </c>
    </row>
    <row r="232">
      <c r="A232" t="inlineStr">
        <is>
          <t>Billings</t>
        </is>
      </c>
      <c r="B232" t="inlineStr">
        <is>
          <t>Billings</t>
        </is>
      </c>
      <c r="C232" t="n">
        <v>0</v>
      </c>
    </row>
    <row r="233">
      <c r="A233" t="inlineStr">
        <is>
          <t>Billings</t>
        </is>
      </c>
      <c r="B233" t="inlineStr">
        <is>
          <t>Bozeman</t>
        </is>
      </c>
      <c r="C233" t="n">
        <v>130</v>
      </c>
    </row>
    <row r="234">
      <c r="A234" t="inlineStr">
        <is>
          <t>Billings</t>
        </is>
      </c>
      <c r="B234" t="inlineStr">
        <is>
          <t>Butte</t>
        </is>
      </c>
      <c r="C234" t="n">
        <v>190</v>
      </c>
    </row>
    <row r="235">
      <c r="A235" t="inlineStr">
        <is>
          <t>Billings</t>
        </is>
      </c>
      <c r="B235" t="inlineStr">
        <is>
          <t>Dillon</t>
        </is>
      </c>
      <c r="C235" t="n">
        <v>255</v>
      </c>
    </row>
    <row r="236">
      <c r="A236" t="inlineStr">
        <is>
          <t>Billings</t>
        </is>
      </c>
      <c r="B236" t="inlineStr">
        <is>
          <t>Glendive</t>
        </is>
      </c>
      <c r="C236" t="n">
        <v>180</v>
      </c>
    </row>
    <row r="237">
      <c r="A237" t="inlineStr">
        <is>
          <t>Billings</t>
        </is>
      </c>
      <c r="B237" t="inlineStr">
        <is>
          <t>Great Falls</t>
        </is>
      </c>
      <c r="C237" t="n">
        <v>195</v>
      </c>
    </row>
    <row r="238">
      <c r="A238" t="inlineStr">
        <is>
          <t>Billings</t>
        </is>
      </c>
      <c r="B238" t="inlineStr">
        <is>
          <t>Havre</t>
        </is>
      </c>
      <c r="C238" t="n">
        <v>200</v>
      </c>
    </row>
    <row r="239">
      <c r="A239" t="inlineStr">
        <is>
          <t>Billings</t>
        </is>
      </c>
      <c r="B239" t="inlineStr">
        <is>
          <t>Helena</t>
        </is>
      </c>
      <c r="C239" t="n">
        <v>185</v>
      </c>
    </row>
    <row r="240">
      <c r="A240" t="inlineStr">
        <is>
          <t>Billings</t>
        </is>
      </c>
      <c r="B240" t="inlineStr">
        <is>
          <t>Kalispell</t>
        </is>
      </c>
      <c r="C240" t="n">
        <v>370</v>
      </c>
    </row>
    <row r="241">
      <c r="A241" t="inlineStr">
        <is>
          <t>Billings</t>
        </is>
      </c>
      <c r="B241" t="inlineStr">
        <is>
          <t>Lewistown</t>
        </is>
      </c>
      <c r="C241" t="n">
        <v>115</v>
      </c>
    </row>
    <row r="242">
      <c r="A242" t="inlineStr">
        <is>
          <t>Billings</t>
        </is>
      </c>
      <c r="B242" t="inlineStr">
        <is>
          <t>Livingston</t>
        </is>
      </c>
      <c r="C242" t="n">
        <v>100</v>
      </c>
    </row>
    <row r="243">
      <c r="A243" t="inlineStr">
        <is>
          <t>Billings</t>
        </is>
      </c>
      <c r="B243" t="inlineStr">
        <is>
          <t>Miles City</t>
        </is>
      </c>
      <c r="C243" t="n">
        <v>125</v>
      </c>
    </row>
    <row r="244">
      <c r="A244" t="inlineStr">
        <is>
          <t>Billings</t>
        </is>
      </c>
      <c r="B244" t="inlineStr">
        <is>
          <t>Missoula</t>
        </is>
      </c>
      <c r="C244" t="n">
        <v>285</v>
      </c>
    </row>
    <row r="245">
      <c r="A245" t="inlineStr">
        <is>
          <t>Bozeman</t>
        </is>
      </c>
      <c r="B245" t="inlineStr">
        <is>
          <t>Billings</t>
        </is>
      </c>
      <c r="C245" t="n">
        <v>130</v>
      </c>
    </row>
    <row r="246">
      <c r="A246" t="inlineStr">
        <is>
          <t>Bozeman</t>
        </is>
      </c>
      <c r="B246" t="inlineStr">
        <is>
          <t>Bozeman</t>
        </is>
      </c>
      <c r="C246" t="n">
        <v>0</v>
      </c>
    </row>
    <row r="247">
      <c r="A247" t="inlineStr">
        <is>
          <t>Bozeman</t>
        </is>
      </c>
      <c r="B247" t="inlineStr">
        <is>
          <t>Butte</t>
        </is>
      </c>
      <c r="C247" t="n">
        <v>70</v>
      </c>
    </row>
    <row r="248">
      <c r="A248" t="inlineStr">
        <is>
          <t>Bozeman</t>
        </is>
      </c>
      <c r="B248" t="inlineStr">
        <is>
          <t>Dillon</t>
        </is>
      </c>
      <c r="C248" t="n">
        <v>135</v>
      </c>
    </row>
    <row r="249">
      <c r="A249" t="inlineStr">
        <is>
          <t>Bozeman</t>
        </is>
      </c>
      <c r="B249" t="inlineStr">
        <is>
          <t>Great Falls</t>
        </is>
      </c>
      <c r="C249" t="n">
        <v>195</v>
      </c>
    </row>
    <row r="250">
      <c r="A250" t="inlineStr">
        <is>
          <t>Bozeman</t>
        </is>
      </c>
      <c r="B250" t="inlineStr">
        <is>
          <t>Helena</t>
        </is>
      </c>
      <c r="C250" t="n">
        <v>80</v>
      </c>
    </row>
    <row r="251">
      <c r="A251" t="inlineStr">
        <is>
          <t>Bozeman</t>
        </is>
      </c>
      <c r="B251" t="inlineStr">
        <is>
          <t>Kalispell</t>
        </is>
      </c>
      <c r="C251" t="n">
        <v>255</v>
      </c>
    </row>
    <row r="252">
      <c r="A252" t="inlineStr">
        <is>
          <t>Bozeman</t>
        </is>
      </c>
      <c r="B252" t="inlineStr">
        <is>
          <t>Livingston</t>
        </is>
      </c>
      <c r="C252" t="n">
        <v>25</v>
      </c>
    </row>
    <row r="253">
      <c r="A253" t="inlineStr">
        <is>
          <t>Bozeman</t>
        </is>
      </c>
      <c r="B253" t="inlineStr">
        <is>
          <t>Miles City</t>
        </is>
      </c>
      <c r="C253" t="n">
        <v>240</v>
      </c>
    </row>
    <row r="254">
      <c r="A254" t="inlineStr">
        <is>
          <t>Bozeman</t>
        </is>
      </c>
      <c r="B254" t="inlineStr">
        <is>
          <t>Missoula</t>
        </is>
      </c>
      <c r="C254" t="n">
        <v>165</v>
      </c>
    </row>
    <row r="255">
      <c r="A255" t="inlineStr">
        <is>
          <t>Butte</t>
        </is>
      </c>
      <c r="B255" t="inlineStr">
        <is>
          <t>Anaconda</t>
        </is>
      </c>
      <c r="C255" t="n">
        <v>30</v>
      </c>
    </row>
    <row r="256">
      <c r="A256" t="inlineStr">
        <is>
          <t>Butte</t>
        </is>
      </c>
      <c r="B256" t="inlineStr">
        <is>
          <t>Billings</t>
        </is>
      </c>
      <c r="C256" t="n">
        <v>190</v>
      </c>
    </row>
    <row r="257">
      <c r="A257" t="inlineStr">
        <is>
          <t>Butte</t>
        </is>
      </c>
      <c r="B257" t="inlineStr">
        <is>
          <t>Bozeman</t>
        </is>
      </c>
      <c r="C257" t="n">
        <v>70</v>
      </c>
    </row>
    <row r="258">
      <c r="A258" t="inlineStr">
        <is>
          <t>Butte</t>
        </is>
      </c>
      <c r="B258" t="inlineStr">
        <is>
          <t>Butte</t>
        </is>
      </c>
      <c r="C258" t="n">
        <v>0</v>
      </c>
    </row>
    <row r="259">
      <c r="A259" t="inlineStr">
        <is>
          <t>Butte</t>
        </is>
      </c>
      <c r="B259" t="inlineStr">
        <is>
          <t>Dillon</t>
        </is>
      </c>
      <c r="C259" t="n">
        <v>55</v>
      </c>
    </row>
    <row r="260">
      <c r="A260" t="inlineStr">
        <is>
          <t>Butte</t>
        </is>
      </c>
      <c r="B260" t="inlineStr">
        <is>
          <t>Helena</t>
        </is>
      </c>
      <c r="C260" t="n">
        <v>55</v>
      </c>
    </row>
    <row r="261">
      <c r="A261" t="inlineStr">
        <is>
          <t>Butte</t>
        </is>
      </c>
      <c r="B261" t="inlineStr">
        <is>
          <t>Missoula</t>
        </is>
      </c>
      <c r="C261" t="n">
        <v>110</v>
      </c>
    </row>
    <row r="262">
      <c r="A262" t="inlineStr">
        <is>
          <t>Dillon</t>
        </is>
      </c>
      <c r="B262" t="inlineStr">
        <is>
          <t>Billings</t>
        </is>
      </c>
      <c r="C262" t="n">
        <v>255</v>
      </c>
    </row>
    <row r="263">
      <c r="A263" t="inlineStr">
        <is>
          <t>Dillon</t>
        </is>
      </c>
      <c r="B263" t="inlineStr">
        <is>
          <t>Bozeman</t>
        </is>
      </c>
      <c r="C263" t="n">
        <v>135</v>
      </c>
    </row>
    <row r="264">
      <c r="A264" t="inlineStr">
        <is>
          <t>Dillon</t>
        </is>
      </c>
      <c r="B264" t="inlineStr">
        <is>
          <t>Butte</t>
        </is>
      </c>
      <c r="C264" t="n">
        <v>55</v>
      </c>
    </row>
    <row r="265">
      <c r="A265" t="inlineStr">
        <is>
          <t>Dillon</t>
        </is>
      </c>
      <c r="B265" t="inlineStr">
        <is>
          <t>Dillon</t>
        </is>
      </c>
      <c r="C265" t="n">
        <v>0</v>
      </c>
    </row>
    <row r="266">
      <c r="A266" t="inlineStr">
        <is>
          <t>Dillon</t>
        </is>
      </c>
      <c r="B266" t="inlineStr">
        <is>
          <t>Helena</t>
        </is>
      </c>
      <c r="C266" t="n">
        <v>110</v>
      </c>
    </row>
    <row r="267">
      <c r="A267" t="inlineStr">
        <is>
          <t>Dillon</t>
        </is>
      </c>
      <c r="B267" t="inlineStr">
        <is>
          <t>Missoula</t>
        </is>
      </c>
      <c r="C267" t="n">
        <v>160</v>
      </c>
    </row>
    <row r="268">
      <c r="A268" t="inlineStr">
        <is>
          <t>Glendive</t>
        </is>
      </c>
      <c r="B268" t="inlineStr">
        <is>
          <t>Billings</t>
        </is>
      </c>
      <c r="C268" t="n">
        <v>180</v>
      </c>
    </row>
    <row r="269">
      <c r="A269" t="inlineStr">
        <is>
          <t>Glendive</t>
        </is>
      </c>
      <c r="B269" t="inlineStr">
        <is>
          <t>Miles City</t>
        </is>
      </c>
      <c r="C269" t="n">
        <v>60</v>
      </c>
    </row>
    <row r="270">
      <c r="A270" t="inlineStr">
        <is>
          <t>Great Falls</t>
        </is>
      </c>
      <c r="B270" t="inlineStr">
        <is>
          <t>Billings</t>
        </is>
      </c>
      <c r="C270" t="n">
        <v>195</v>
      </c>
    </row>
    <row r="271">
      <c r="A271" t="inlineStr">
        <is>
          <t>Great Falls</t>
        </is>
      </c>
      <c r="B271" t="inlineStr">
        <is>
          <t>Bozeman</t>
        </is>
      </c>
      <c r="C271" t="n">
        <v>195</v>
      </c>
    </row>
    <row r="272">
      <c r="A272" t="inlineStr">
        <is>
          <t>Great Falls</t>
        </is>
      </c>
      <c r="B272" t="inlineStr">
        <is>
          <t>Great Falls</t>
        </is>
      </c>
      <c r="C272" t="n">
        <v>0</v>
      </c>
    </row>
    <row r="273">
      <c r="A273" t="inlineStr">
        <is>
          <t>Great Falls</t>
        </is>
      </c>
      <c r="B273" t="inlineStr">
        <is>
          <t>Havre</t>
        </is>
      </c>
      <c r="C273" t="n">
        <v>95</v>
      </c>
    </row>
    <row r="274">
      <c r="A274" t="inlineStr">
        <is>
          <t>Great Falls</t>
        </is>
      </c>
      <c r="B274" t="inlineStr">
        <is>
          <t>Helena</t>
        </is>
      </c>
      <c r="C274" t="n">
        <v>70</v>
      </c>
    </row>
    <row r="275">
      <c r="A275" t="inlineStr">
        <is>
          <t>Great Falls</t>
        </is>
      </c>
      <c r="B275" t="inlineStr">
        <is>
          <t>Kalispell</t>
        </is>
      </c>
      <c r="C275" t="n">
        <v>180</v>
      </c>
    </row>
    <row r="276">
      <c r="A276" t="inlineStr">
        <is>
          <t>Great Falls</t>
        </is>
      </c>
      <c r="B276" t="inlineStr">
        <is>
          <t>Lewistown</t>
        </is>
      </c>
      <c r="C276" t="n">
        <v>90</v>
      </c>
    </row>
    <row r="277">
      <c r="A277" t="inlineStr">
        <is>
          <t>Great Falls</t>
        </is>
      </c>
      <c r="B277" t="inlineStr">
        <is>
          <t>Missoula</t>
        </is>
      </c>
      <c r="C277" t="n">
        <v>165</v>
      </c>
    </row>
    <row r="278">
      <c r="A278" t="inlineStr">
        <is>
          <t>Havre</t>
        </is>
      </c>
      <c r="B278" t="inlineStr">
        <is>
          <t>Billings</t>
        </is>
      </c>
      <c r="C278" t="n">
        <v>200</v>
      </c>
    </row>
    <row r="279">
      <c r="A279" t="inlineStr">
        <is>
          <t>Havre</t>
        </is>
      </c>
      <c r="B279" t="inlineStr">
        <is>
          <t>Great Falls</t>
        </is>
      </c>
      <c r="C279" t="n">
        <v>95</v>
      </c>
    </row>
    <row r="280">
      <c r="A280" t="inlineStr">
        <is>
          <t>Havre</t>
        </is>
      </c>
      <c r="B280" t="inlineStr">
        <is>
          <t>Helena</t>
        </is>
      </c>
      <c r="C280" t="n">
        <v>155</v>
      </c>
    </row>
    <row r="281">
      <c r="A281" t="inlineStr">
        <is>
          <t>Helena</t>
        </is>
      </c>
      <c r="B281" t="inlineStr">
        <is>
          <t>Billings</t>
        </is>
      </c>
      <c r="C281" t="n">
        <v>185</v>
      </c>
    </row>
    <row r="282">
      <c r="A282" t="inlineStr">
        <is>
          <t>Helena</t>
        </is>
      </c>
      <c r="B282" t="inlineStr">
        <is>
          <t>Bozeman</t>
        </is>
      </c>
      <c r="C282" t="n">
        <v>80</v>
      </c>
    </row>
    <row r="283">
      <c r="A283" t="inlineStr">
        <is>
          <t>Helena</t>
        </is>
      </c>
      <c r="B283" t="inlineStr">
        <is>
          <t>Butte</t>
        </is>
      </c>
      <c r="C283" t="n">
        <v>55</v>
      </c>
    </row>
    <row r="284">
      <c r="A284" t="inlineStr">
        <is>
          <t>Helena</t>
        </is>
      </c>
      <c r="B284" t="inlineStr">
        <is>
          <t>Dillon</t>
        </is>
      </c>
      <c r="C284" t="n">
        <v>110</v>
      </c>
    </row>
    <row r="285">
      <c r="A285" t="inlineStr">
        <is>
          <t>Helena</t>
        </is>
      </c>
      <c r="B285" t="inlineStr">
        <is>
          <t>Great Falls</t>
        </is>
      </c>
      <c r="C285" t="n">
        <v>70</v>
      </c>
    </row>
    <row r="286">
      <c r="A286" t="inlineStr">
        <is>
          <t>Helena</t>
        </is>
      </c>
      <c r="B286" t="inlineStr">
        <is>
          <t>Havre</t>
        </is>
      </c>
      <c r="C286" t="n">
        <v>155</v>
      </c>
    </row>
    <row r="287">
      <c r="A287" t="inlineStr">
        <is>
          <t>Helena</t>
        </is>
      </c>
      <c r="B287" t="inlineStr">
        <is>
          <t>Helena</t>
        </is>
      </c>
      <c r="C287" t="n">
        <v>0</v>
      </c>
    </row>
    <row r="288">
      <c r="A288" t="inlineStr">
        <is>
          <t>Helena</t>
        </is>
      </c>
      <c r="B288" t="inlineStr">
        <is>
          <t>Kalispell</t>
        </is>
      </c>
      <c r="C288" t="n">
        <v>180</v>
      </c>
    </row>
    <row r="289">
      <c r="A289" t="inlineStr">
        <is>
          <t>Helena</t>
        </is>
      </c>
      <c r="B289" t="inlineStr">
        <is>
          <t>Missoula</t>
        </is>
      </c>
      <c r="C289" t="n">
        <v>95</v>
      </c>
    </row>
    <row r="290">
      <c r="A290" t="inlineStr">
        <is>
          <t>Kalispell</t>
        </is>
      </c>
      <c r="B290" t="inlineStr">
        <is>
          <t>Billings</t>
        </is>
      </c>
      <c r="C290" t="n">
        <v>370</v>
      </c>
    </row>
    <row r="291">
      <c r="A291" t="inlineStr">
        <is>
          <t>Kalispell</t>
        </is>
      </c>
      <c r="B291" t="inlineStr">
        <is>
          <t>Bozeman</t>
        </is>
      </c>
      <c r="C291" t="n">
        <v>255</v>
      </c>
    </row>
    <row r="292">
      <c r="A292" t="inlineStr">
        <is>
          <t>Kalispell</t>
        </is>
      </c>
      <c r="B292" t="inlineStr">
        <is>
          <t>Great Falls</t>
        </is>
      </c>
      <c r="C292" t="n">
        <v>180</v>
      </c>
    </row>
    <row r="293">
      <c r="A293" t="inlineStr">
        <is>
          <t>Kalispell</t>
        </is>
      </c>
      <c r="B293" t="inlineStr">
        <is>
          <t>Helena</t>
        </is>
      </c>
      <c r="C293" t="n">
        <v>180</v>
      </c>
    </row>
    <row r="294">
      <c r="A294" t="inlineStr">
        <is>
          <t>Kalispell</t>
        </is>
      </c>
      <c r="B294" t="inlineStr">
        <is>
          <t>Kalispell</t>
        </is>
      </c>
      <c r="C294" t="n">
        <v>0</v>
      </c>
    </row>
    <row r="295">
      <c r="A295" t="inlineStr">
        <is>
          <t>Kalispell</t>
        </is>
      </c>
      <c r="B295" t="inlineStr">
        <is>
          <t>Missoula</t>
        </is>
      </c>
      <c r="C295" t="n">
        <v>100</v>
      </c>
    </row>
    <row r="296">
      <c r="A296" t="inlineStr">
        <is>
          <t>Kalispell</t>
        </is>
      </c>
      <c r="B296" t="inlineStr">
        <is>
          <t>Whitefish</t>
        </is>
      </c>
      <c r="C296" t="n">
        <v>20</v>
      </c>
    </row>
    <row r="297">
      <c r="A297" t="inlineStr">
        <is>
          <t>Lewistown</t>
        </is>
      </c>
      <c r="B297" t="inlineStr">
        <is>
          <t>Billings</t>
        </is>
      </c>
      <c r="C297" t="n">
        <v>115</v>
      </c>
    </row>
    <row r="298">
      <c r="A298" t="inlineStr">
        <is>
          <t>Lewistown</t>
        </is>
      </c>
      <c r="B298" t="inlineStr">
        <is>
          <t>Great Falls</t>
        </is>
      </c>
      <c r="C298" t="n">
        <v>90</v>
      </c>
    </row>
    <row r="299">
      <c r="A299" t="inlineStr">
        <is>
          <t>Livingston</t>
        </is>
      </c>
      <c r="B299" t="inlineStr">
        <is>
          <t>Billings</t>
        </is>
      </c>
      <c r="C299" t="n">
        <v>100</v>
      </c>
    </row>
    <row r="300">
      <c r="A300" t="inlineStr">
        <is>
          <t>Livingston</t>
        </is>
      </c>
      <c r="B300" t="inlineStr">
        <is>
          <t>Bozeman</t>
        </is>
      </c>
      <c r="C300" t="n">
        <v>25</v>
      </c>
    </row>
    <row r="301">
      <c r="A301" t="inlineStr">
        <is>
          <t>Miles City</t>
        </is>
      </c>
      <c r="B301" t="inlineStr">
        <is>
          <t>Billings</t>
        </is>
      </c>
      <c r="C301" t="n">
        <v>125</v>
      </c>
    </row>
    <row r="302">
      <c r="A302" t="inlineStr">
        <is>
          <t>Miles City</t>
        </is>
      </c>
      <c r="B302" t="inlineStr">
        <is>
          <t>Bozeman</t>
        </is>
      </c>
      <c r="C302" t="n">
        <v>240</v>
      </c>
    </row>
    <row r="303">
      <c r="A303" t="inlineStr">
        <is>
          <t>Miles City</t>
        </is>
      </c>
      <c r="B303" t="inlineStr">
        <is>
          <t>Glendive</t>
        </is>
      </c>
      <c r="C303" t="n">
        <v>60</v>
      </c>
    </row>
    <row r="304">
      <c r="A304" t="inlineStr">
        <is>
          <t>Miles City</t>
        </is>
      </c>
      <c r="B304" t="inlineStr">
        <is>
          <t>Miles City</t>
        </is>
      </c>
      <c r="C304" t="n">
        <v>0</v>
      </c>
    </row>
    <row r="305">
      <c r="A305" t="inlineStr">
        <is>
          <t>Missoula</t>
        </is>
      </c>
      <c r="B305" t="inlineStr">
        <is>
          <t>Billings</t>
        </is>
      </c>
      <c r="C305" t="n">
        <v>285</v>
      </c>
    </row>
    <row r="306">
      <c r="A306" t="inlineStr">
        <is>
          <t>Missoula</t>
        </is>
      </c>
      <c r="B306" t="inlineStr">
        <is>
          <t>Bozeman</t>
        </is>
      </c>
      <c r="C306" t="n">
        <v>165</v>
      </c>
    </row>
    <row r="307">
      <c r="A307" t="inlineStr">
        <is>
          <t>Missoula</t>
        </is>
      </c>
      <c r="B307" t="inlineStr">
        <is>
          <t>Butte</t>
        </is>
      </c>
      <c r="C307" t="n">
        <v>110</v>
      </c>
    </row>
    <row r="308">
      <c r="A308" t="inlineStr">
        <is>
          <t>Missoula</t>
        </is>
      </c>
      <c r="B308" t="inlineStr">
        <is>
          <t>Dillon</t>
        </is>
      </c>
      <c r="C308" t="n">
        <v>160</v>
      </c>
    </row>
    <row r="309">
      <c r="A309" t="inlineStr">
        <is>
          <t>Missoula</t>
        </is>
      </c>
      <c r="B309" t="inlineStr">
        <is>
          <t>Great Falls</t>
        </is>
      </c>
      <c r="C309" t="n">
        <v>165</v>
      </c>
    </row>
    <row r="310">
      <c r="A310" t="inlineStr">
        <is>
          <t>Missoula</t>
        </is>
      </c>
      <c r="B310" t="inlineStr">
        <is>
          <t>Helena</t>
        </is>
      </c>
      <c r="C310" t="n">
        <v>95</v>
      </c>
    </row>
    <row r="311">
      <c r="A311" t="inlineStr">
        <is>
          <t>Missoula</t>
        </is>
      </c>
      <c r="B311" t="inlineStr">
        <is>
          <t>Kalispell</t>
        </is>
      </c>
      <c r="C311" t="n">
        <v>100</v>
      </c>
    </row>
    <row r="312">
      <c r="A312" t="inlineStr">
        <is>
          <t>Missoula</t>
        </is>
      </c>
      <c r="B312" t="inlineStr">
        <is>
          <t>Missoula</t>
        </is>
      </c>
      <c r="C312" t="n">
        <v>0</v>
      </c>
    </row>
    <row r="313">
      <c r="A313" t="inlineStr">
        <is>
          <t>Whitefish</t>
        </is>
      </c>
      <c r="B313" t="inlineStr">
        <is>
          <t>Kalispell</t>
        </is>
      </c>
      <c r="C313" t="n">
        <v>20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2026-06-11T20:09:47Z</dcterms:created>
  <dcterms:modified xsi:type="dcterms:W3CDTF">2026-06-11T20:16:03Z</dcterms:modified>
</cp:coreProperties>
</file>